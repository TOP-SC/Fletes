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fs03\red\Distribuidora\Logística\usuarios\Adrian Mantello\"/>
    </mc:Choice>
  </mc:AlternateContent>
  <xr:revisionPtr revIDLastSave="0" documentId="13_ncr:1_{5CB4BEC3-C346-4C4E-928D-540E098C52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cpaq" sheetId="10" r:id="rId1"/>
    <sheet name="fransof" sheetId="11" r:id="rId2"/>
    <sheet name="alfaro" sheetId="12" r:id="rId3"/>
    <sheet name="LBO CP" sheetId="13" r:id="rId4"/>
    <sheet name="fletes sucursales" sheetId="14" r:id="rId5"/>
  </sheets>
  <definedNames>
    <definedName name="_xlnm.Print_Area" localSheetId="0">clicpaq!$A$1:$J$52</definedName>
  </definedNames>
  <calcPr calcId="181029"/>
</workbook>
</file>

<file path=xl/calcChain.xml><?xml version="1.0" encoding="utf-8"?>
<calcChain xmlns="http://schemas.openxmlformats.org/spreadsheetml/2006/main">
  <c r="B13" i="14" l="1"/>
  <c r="B12" i="14"/>
  <c r="B11" i="14"/>
  <c r="B10" i="14"/>
  <c r="B9" i="14"/>
  <c r="B8" i="14"/>
  <c r="B7" i="14"/>
  <c r="J52" i="10" l="1"/>
  <c r="I52" i="10"/>
  <c r="H52" i="10"/>
  <c r="G52" i="10"/>
  <c r="E52" i="10"/>
  <c r="D52" i="10"/>
  <c r="J51" i="10"/>
  <c r="I51" i="10"/>
  <c r="H51" i="10"/>
  <c r="G51" i="10"/>
  <c r="E51" i="10"/>
  <c r="D51" i="10"/>
  <c r="J50" i="10"/>
  <c r="I50" i="10"/>
  <c r="H50" i="10"/>
  <c r="G50" i="10"/>
  <c r="E50" i="10"/>
  <c r="D50" i="10"/>
  <c r="J49" i="10"/>
  <c r="I49" i="10"/>
  <c r="H49" i="10"/>
  <c r="G49" i="10"/>
  <c r="E49" i="10"/>
  <c r="D49" i="10"/>
  <c r="J48" i="10"/>
  <c r="I48" i="10"/>
  <c r="H48" i="10"/>
  <c r="G48" i="10"/>
  <c r="E48" i="10"/>
  <c r="D48" i="10"/>
  <c r="J47" i="10"/>
  <c r="I47" i="10"/>
  <c r="H47" i="10"/>
  <c r="G47" i="10"/>
  <c r="E47" i="10"/>
  <c r="D47" i="10"/>
  <c r="J46" i="10"/>
  <c r="I46" i="10"/>
  <c r="H46" i="10"/>
  <c r="G46" i="10"/>
  <c r="E46" i="10"/>
  <c r="D46" i="10"/>
  <c r="J45" i="10"/>
  <c r="I45" i="10"/>
  <c r="H45" i="10"/>
  <c r="G45" i="10"/>
  <c r="E45" i="10"/>
  <c r="D45" i="10"/>
  <c r="J44" i="10"/>
  <c r="I44" i="10"/>
  <c r="H44" i="10"/>
  <c r="G44" i="10"/>
  <c r="E44" i="10"/>
  <c r="D44" i="10"/>
  <c r="J43" i="10"/>
  <c r="I43" i="10"/>
  <c r="H43" i="10"/>
  <c r="G43" i="10"/>
  <c r="E43" i="10"/>
  <c r="D43" i="10"/>
  <c r="J42" i="10"/>
  <c r="I42" i="10"/>
  <c r="H42" i="10"/>
  <c r="G42" i="10"/>
  <c r="E42" i="10"/>
  <c r="D42" i="10"/>
  <c r="J41" i="10"/>
  <c r="I41" i="10"/>
  <c r="H41" i="10"/>
  <c r="G41" i="10"/>
  <c r="E41" i="10"/>
  <c r="D41" i="10"/>
  <c r="J40" i="10"/>
  <c r="I40" i="10"/>
  <c r="H40" i="10"/>
  <c r="G40" i="10"/>
  <c r="E40" i="10"/>
  <c r="D40" i="10"/>
  <c r="J39" i="10"/>
  <c r="I39" i="10"/>
  <c r="H39" i="10"/>
  <c r="G39" i="10"/>
  <c r="E39" i="10"/>
  <c r="D39" i="10"/>
  <c r="J38" i="10"/>
  <c r="I38" i="10"/>
  <c r="H38" i="10"/>
  <c r="G38" i="10"/>
  <c r="E38" i="10"/>
  <c r="D38" i="10"/>
  <c r="J37" i="10"/>
  <c r="I37" i="10"/>
  <c r="H37" i="10"/>
  <c r="G37" i="10"/>
  <c r="E37" i="10"/>
  <c r="D37" i="10"/>
  <c r="J36" i="10"/>
  <c r="I36" i="10"/>
  <c r="H36" i="10"/>
  <c r="G36" i="10"/>
  <c r="E36" i="10"/>
  <c r="D36" i="10"/>
  <c r="J35" i="10"/>
  <c r="I35" i="10"/>
  <c r="H35" i="10"/>
  <c r="G35" i="10"/>
  <c r="E35" i="10"/>
  <c r="D35" i="10"/>
  <c r="J34" i="10"/>
  <c r="I34" i="10"/>
  <c r="H34" i="10"/>
  <c r="G34" i="10"/>
  <c r="E34" i="10"/>
  <c r="D34" i="10"/>
  <c r="J33" i="10"/>
  <c r="I33" i="10"/>
  <c r="H33" i="10"/>
  <c r="G33" i="10"/>
  <c r="E33" i="10"/>
  <c r="D33" i="10"/>
  <c r="J32" i="10"/>
  <c r="I32" i="10"/>
  <c r="H32" i="10"/>
  <c r="G32" i="10"/>
  <c r="E32" i="10"/>
  <c r="D32" i="10"/>
  <c r="J31" i="10"/>
  <c r="I31" i="10"/>
  <c r="H31" i="10"/>
  <c r="G31" i="10"/>
  <c r="E31" i="10"/>
  <c r="D31" i="10"/>
  <c r="J30" i="10"/>
  <c r="I30" i="10"/>
  <c r="H30" i="10"/>
  <c r="G30" i="10"/>
  <c r="E30" i="10"/>
  <c r="D30" i="10"/>
  <c r="J29" i="10"/>
  <c r="I29" i="10"/>
  <c r="H29" i="10"/>
  <c r="G29" i="10"/>
  <c r="E29" i="10"/>
  <c r="D29" i="10"/>
  <c r="J28" i="10"/>
  <c r="I28" i="10"/>
  <c r="H28" i="10"/>
  <c r="G28" i="10"/>
  <c r="E28" i="10"/>
  <c r="D28" i="10"/>
  <c r="J27" i="10"/>
  <c r="I27" i="10"/>
  <c r="H27" i="10"/>
  <c r="G27" i="10"/>
  <c r="E27" i="10"/>
  <c r="D27" i="10"/>
  <c r="J26" i="10"/>
  <c r="I26" i="10"/>
  <c r="H26" i="10"/>
  <c r="G26" i="10"/>
  <c r="E26" i="10"/>
  <c r="D26" i="10"/>
  <c r="J25" i="10"/>
  <c r="I25" i="10"/>
  <c r="H25" i="10"/>
  <c r="G25" i="10"/>
  <c r="E25" i="10"/>
  <c r="D25" i="10"/>
  <c r="J24" i="10"/>
  <c r="I24" i="10"/>
  <c r="H24" i="10"/>
  <c r="G24" i="10"/>
  <c r="E24" i="10"/>
  <c r="D24" i="10"/>
  <c r="J23" i="10"/>
  <c r="I23" i="10"/>
  <c r="H23" i="10"/>
  <c r="G23" i="10"/>
  <c r="E23" i="10"/>
  <c r="D23" i="10"/>
  <c r="J22" i="10"/>
  <c r="I22" i="10"/>
  <c r="H22" i="10"/>
  <c r="G22" i="10"/>
  <c r="E22" i="10"/>
  <c r="D22" i="10"/>
  <c r="J21" i="10"/>
  <c r="I21" i="10"/>
  <c r="H21" i="10"/>
  <c r="G21" i="10"/>
  <c r="E21" i="10"/>
  <c r="D21" i="10"/>
  <c r="J20" i="10"/>
  <c r="I20" i="10"/>
  <c r="H20" i="10"/>
  <c r="G20" i="10"/>
  <c r="E20" i="10"/>
  <c r="D20" i="10"/>
  <c r="J19" i="10"/>
  <c r="I19" i="10"/>
  <c r="H19" i="10"/>
  <c r="G19" i="10"/>
  <c r="E19" i="10"/>
  <c r="D19" i="10"/>
  <c r="J18" i="10"/>
  <c r="I18" i="10"/>
  <c r="H18" i="10"/>
  <c r="G18" i="10"/>
  <c r="E18" i="10"/>
  <c r="D18" i="10"/>
  <c r="J17" i="10"/>
  <c r="I17" i="10"/>
  <c r="H17" i="10"/>
  <c r="G17" i="10"/>
  <c r="E17" i="10"/>
  <c r="D17" i="10"/>
  <c r="J16" i="10"/>
  <c r="I16" i="10"/>
  <c r="H16" i="10"/>
  <c r="G16" i="10"/>
  <c r="E16" i="10"/>
  <c r="D16" i="10"/>
  <c r="J15" i="10"/>
  <c r="I15" i="10"/>
  <c r="H15" i="10"/>
  <c r="G15" i="10"/>
  <c r="E15" i="10"/>
  <c r="D15" i="10"/>
  <c r="J14" i="10"/>
  <c r="I14" i="10"/>
  <c r="H14" i="10"/>
  <c r="G14" i="10"/>
  <c r="E14" i="10"/>
  <c r="D14" i="10"/>
  <c r="J13" i="10"/>
  <c r="I13" i="10"/>
  <c r="H13" i="10"/>
  <c r="G13" i="10"/>
  <c r="E13" i="10"/>
  <c r="D13" i="10"/>
  <c r="J12" i="10"/>
  <c r="I12" i="10"/>
  <c r="H12" i="10"/>
  <c r="G12" i="10"/>
  <c r="E12" i="10"/>
  <c r="D12" i="10"/>
  <c r="J11" i="10"/>
  <c r="I11" i="10"/>
  <c r="H11" i="10"/>
  <c r="G11" i="10"/>
  <c r="E11" i="10"/>
  <c r="D11" i="10"/>
  <c r="J10" i="10"/>
  <c r="I10" i="10"/>
  <c r="H10" i="10"/>
  <c r="G10" i="10"/>
  <c r="E10" i="10"/>
  <c r="D10" i="10"/>
  <c r="J9" i="10"/>
  <c r="I9" i="10"/>
  <c r="H9" i="10"/>
  <c r="G9" i="10"/>
  <c r="E9" i="10"/>
  <c r="D9" i="10"/>
  <c r="J8" i="10"/>
  <c r="I8" i="10"/>
  <c r="H8" i="10"/>
  <c r="G8" i="10"/>
  <c r="E8" i="10"/>
  <c r="D8" i="10"/>
  <c r="J7" i="10"/>
  <c r="I7" i="10"/>
  <c r="H7" i="10"/>
  <c r="G7" i="10"/>
  <c r="E7" i="10"/>
  <c r="D7" i="10"/>
  <c r="J6" i="10"/>
  <c r="I6" i="10"/>
  <c r="H6" i="10"/>
  <c r="G6" i="10"/>
  <c r="E6" i="10"/>
  <c r="D6" i="10"/>
  <c r="J5" i="10"/>
  <c r="I5" i="10"/>
  <c r="H5" i="10"/>
  <c r="G5" i="10"/>
  <c r="E5" i="10"/>
  <c r="D5" i="10"/>
  <c r="J4" i="10"/>
  <c r="I4" i="10"/>
  <c r="H4" i="10"/>
  <c r="G4" i="10"/>
  <c r="E4" i="10"/>
  <c r="D4" i="10"/>
  <c r="H49" i="11" l="1"/>
  <c r="F49" i="11"/>
  <c r="H42" i="11"/>
  <c r="G42" i="11"/>
  <c r="E42" i="11"/>
  <c r="F42" i="11" s="1"/>
  <c r="H32" i="11"/>
  <c r="E32" i="11"/>
  <c r="F32" i="11" s="1"/>
  <c r="C32" i="11"/>
  <c r="E28" i="11"/>
  <c r="F28" i="11" s="1"/>
  <c r="C28" i="11"/>
  <c r="H15" i="11"/>
  <c r="E15" i="11"/>
  <c r="F15" i="11" s="1"/>
  <c r="C15" i="11"/>
  <c r="H5" i="11"/>
  <c r="E5" i="11"/>
  <c r="F5" i="11" s="1"/>
  <c r="C5" i="11"/>
  <c r="H2" i="11"/>
  <c r="E2" i="11"/>
  <c r="F2" i="11" s="1"/>
  <c r="C2" i="11"/>
</calcChain>
</file>

<file path=xl/sharedStrings.xml><?xml version="1.0" encoding="utf-8"?>
<sst xmlns="http://schemas.openxmlformats.org/spreadsheetml/2006/main" count="379" uniqueCount="236">
  <si>
    <t>BUENOS AIRES</t>
  </si>
  <si>
    <t>CATAMARCA</t>
  </si>
  <si>
    <t>CHACO</t>
  </si>
  <si>
    <t>CHUBUT</t>
  </si>
  <si>
    <t>CORDOBA</t>
  </si>
  <si>
    <t>CORRIENTES</t>
  </si>
  <si>
    <t xml:space="preserve">ENTRE RIOS </t>
  </si>
  <si>
    <t>FORMOSA</t>
  </si>
  <si>
    <t>JUJUY</t>
  </si>
  <si>
    <t xml:space="preserve">LA PAMPA </t>
  </si>
  <si>
    <t>LA RIOJA</t>
  </si>
  <si>
    <t>MENDOZA</t>
  </si>
  <si>
    <t>MISIONES</t>
  </si>
  <si>
    <t>NEUQUEN</t>
  </si>
  <si>
    <t>RIO NEGRO</t>
  </si>
  <si>
    <t xml:space="preserve">SALTA </t>
  </si>
  <si>
    <t>SAN JUAN</t>
  </si>
  <si>
    <t>SAN LUIS</t>
  </si>
  <si>
    <t>SANTA CRUZ</t>
  </si>
  <si>
    <t>SANTA FE</t>
  </si>
  <si>
    <t>TUCUMAN</t>
  </si>
  <si>
    <t>Capital</t>
  </si>
  <si>
    <t>Interior</t>
  </si>
  <si>
    <t>Resistencia</t>
  </si>
  <si>
    <t>Parana</t>
  </si>
  <si>
    <t xml:space="preserve">Interior </t>
  </si>
  <si>
    <t>San Salvador</t>
  </si>
  <si>
    <t>Santa Rosa</t>
  </si>
  <si>
    <t>Posadas</t>
  </si>
  <si>
    <t>Rio Gallegos</t>
  </si>
  <si>
    <t>Rosario / Sta Fe</t>
  </si>
  <si>
    <t>TIERRA DEL FUEGO</t>
  </si>
  <si>
    <t>Ushuaia / Rio Grande</t>
  </si>
  <si>
    <t xml:space="preserve">TARIFARIO por PROVINCIA </t>
  </si>
  <si>
    <t>Costa Atlantica 2</t>
  </si>
  <si>
    <t xml:space="preserve">Rawson </t>
  </si>
  <si>
    <t>Comodoro Rivadavia</t>
  </si>
  <si>
    <t>Viedma / Bariloche</t>
  </si>
  <si>
    <t>SANTIAGO del ESTERO</t>
  </si>
  <si>
    <t>Trelew</t>
  </si>
  <si>
    <t>Costa Atlantica 1 (MDQ)</t>
  </si>
  <si>
    <t>Colchon de 1 PL.                                               (80-90-100)  Promedio 0,5 mt3</t>
  </si>
  <si>
    <t>Colchon de 2 PL. (130-140-150) Promedio 0,8 mt3</t>
  </si>
  <si>
    <t>Colchon Queen/King (160-180-200) Promedio 1 mt3</t>
  </si>
  <si>
    <t>Conjunto de 1 PL. (80-90-100) Promedio 0,8 mt3</t>
  </si>
  <si>
    <t>Conjunto de 2 PL. (130-140-150) Promedio 1,3 mt3</t>
  </si>
  <si>
    <t>Conjunto Queen/King (160-180-200) Promedio 1,8 mt3</t>
  </si>
  <si>
    <t>Divanes / Sillones Muebles Promedio 1,3 mt3</t>
  </si>
  <si>
    <t>Capital/Rio Cuarto/V.Maria</t>
  </si>
  <si>
    <t>B0</t>
  </si>
  <si>
    <t>B1</t>
  </si>
  <si>
    <t>B2</t>
  </si>
  <si>
    <t>B3</t>
  </si>
  <si>
    <t>K0</t>
  </si>
  <si>
    <t>K1</t>
  </si>
  <si>
    <t>H0</t>
  </si>
  <si>
    <t>H1</t>
  </si>
  <si>
    <t>U0</t>
  </si>
  <si>
    <t>U1</t>
  </si>
  <si>
    <t>U2</t>
  </si>
  <si>
    <t>U3</t>
  </si>
  <si>
    <t>X0</t>
  </si>
  <si>
    <t>X1</t>
  </si>
  <si>
    <t>W0</t>
  </si>
  <si>
    <t>W1</t>
  </si>
  <si>
    <t>E0</t>
  </si>
  <si>
    <t>E1</t>
  </si>
  <si>
    <t>P0</t>
  </si>
  <si>
    <t>P1</t>
  </si>
  <si>
    <t>Y0</t>
  </si>
  <si>
    <t>Y1</t>
  </si>
  <si>
    <t>L0</t>
  </si>
  <si>
    <t>L1</t>
  </si>
  <si>
    <t>F0</t>
  </si>
  <si>
    <t>F1</t>
  </si>
  <si>
    <t>M0</t>
  </si>
  <si>
    <t>M1</t>
  </si>
  <si>
    <t>N0</t>
  </si>
  <si>
    <t>N1</t>
  </si>
  <si>
    <t>Q0</t>
  </si>
  <si>
    <t>Q1</t>
  </si>
  <si>
    <t>R0</t>
  </si>
  <si>
    <t>R1</t>
  </si>
  <si>
    <t>A0</t>
  </si>
  <si>
    <t>A1</t>
  </si>
  <si>
    <t>J0</t>
  </si>
  <si>
    <t>J1</t>
  </si>
  <si>
    <t>D0</t>
  </si>
  <si>
    <t>D1</t>
  </si>
  <si>
    <t>Z0</t>
  </si>
  <si>
    <t>Z1</t>
  </si>
  <si>
    <t>S0</t>
  </si>
  <si>
    <t>S1</t>
  </si>
  <si>
    <t>G0</t>
  </si>
  <si>
    <t>G1</t>
  </si>
  <si>
    <t>V0</t>
  </si>
  <si>
    <t>T0</t>
  </si>
  <si>
    <t>T1</t>
  </si>
  <si>
    <t>AMBA</t>
  </si>
  <si>
    <t>16/11 +8%</t>
  </si>
  <si>
    <t>23/12 + 5%</t>
  </si>
  <si>
    <t>16/3/26 + 10%</t>
  </si>
  <si>
    <t>ROSARIO</t>
  </si>
  <si>
    <t>GRANADERO BAIGORRIA</t>
  </si>
  <si>
    <t>VILLA GOBERNADOR GALVEZ</t>
  </si>
  <si>
    <t>IBARLUCEA</t>
  </si>
  <si>
    <t>FUNES</t>
  </si>
  <si>
    <t>ROLDAN</t>
  </si>
  <si>
    <t>CAPITAN BERMUDEZ</t>
  </si>
  <si>
    <t>FRAY LUIS BELTRAN</t>
  </si>
  <si>
    <t>RICARDONE</t>
  </si>
  <si>
    <t>SAN LORENZO</t>
  </si>
  <si>
    <t>PUERTO GENERAL SAN MARTIN</t>
  </si>
  <si>
    <t>SOLDINI</t>
  </si>
  <si>
    <t>-</t>
  </si>
  <si>
    <t>PEREZ</t>
  </si>
  <si>
    <t>TIMBUES</t>
  </si>
  <si>
    <t>MONJE</t>
  </si>
  <si>
    <t>SAN FABIAN</t>
  </si>
  <si>
    <t>BARRANCAS</t>
  </si>
  <si>
    <t>AROCENA</t>
  </si>
  <si>
    <t>CORONDA</t>
  </si>
  <si>
    <t>SANTO TOME</t>
  </si>
  <si>
    <t>SAUCE VIEJO</t>
  </si>
  <si>
    <t>DESVIO ARIJON</t>
  </si>
  <si>
    <t>RECREO</t>
  </si>
  <si>
    <t>FRANK</t>
  </si>
  <si>
    <t>ESPERANZA</t>
  </si>
  <si>
    <t>BELLA ITALIA</t>
  </si>
  <si>
    <t>RAFAELA</t>
  </si>
  <si>
    <t>FRONTERA</t>
  </si>
  <si>
    <t>SAN FRANCISCO</t>
  </si>
  <si>
    <t>PUEBLO ESTHER</t>
  </si>
  <si>
    <t>ARROYO SECO</t>
  </si>
  <si>
    <t>FIGHIERA</t>
  </si>
  <si>
    <t>VILLA CONSTITUCION</t>
  </si>
  <si>
    <t>SAN NICOLAS</t>
  </si>
  <si>
    <t>ENTREGA CADA 10 DIAS</t>
  </si>
  <si>
    <t>VILLA RAMALLO</t>
  </si>
  <si>
    <t>RAMALLO</t>
  </si>
  <si>
    <t>CARCARAÑA</t>
  </si>
  <si>
    <t>CAÑADA DE GOMEZ</t>
  </si>
  <si>
    <t>CASILDA</t>
  </si>
  <si>
    <t>CAMA CAJON / SOFA CAMA / BASE DIVAN</t>
  </si>
  <si>
    <t>A TODAS LAS LOCALIDADES</t>
  </si>
  <si>
    <t xml:space="preserve">NUEVAS LOCALIDADES PARA ENTREGAS DE MERCADERIA </t>
  </si>
  <si>
    <t>LUNES</t>
  </si>
  <si>
    <t>MARTES</t>
  </si>
  <si>
    <t>MIERCOLES</t>
  </si>
  <si>
    <t>JUEVES</t>
  </si>
  <si>
    <t>VIERNES</t>
  </si>
  <si>
    <t>PARANA</t>
  </si>
  <si>
    <t>ACEBAL</t>
  </si>
  <si>
    <t>SAN JERONIMO</t>
  </si>
  <si>
    <t>CRESPO</t>
  </si>
  <si>
    <t xml:space="preserve">VILLA AMELIA </t>
  </si>
  <si>
    <t>ZAVALLA</t>
  </si>
  <si>
    <t>ORO VERDE</t>
  </si>
  <si>
    <t>4 ESQUINAS</t>
  </si>
  <si>
    <t>PUJATO</t>
  </si>
  <si>
    <t xml:space="preserve">DIAMANTE </t>
  </si>
  <si>
    <t>PERGAMINO</t>
  </si>
  <si>
    <t>CHABAS</t>
  </si>
  <si>
    <t>ARMSTRONG</t>
  </si>
  <si>
    <t>VICTORIA</t>
  </si>
  <si>
    <t>LAS PAREJAS</t>
  </si>
  <si>
    <t>FIRMAT</t>
  </si>
  <si>
    <t>BOMBAL</t>
  </si>
  <si>
    <t>BIGAND</t>
  </si>
  <si>
    <t>FIGUIERA</t>
  </si>
  <si>
    <t>ARMINDA</t>
  </si>
  <si>
    <t>VILLA MUGUETA</t>
  </si>
  <si>
    <t>GRAL LAGOS</t>
  </si>
  <si>
    <t>PUEBLO ESTEHR</t>
  </si>
  <si>
    <t>enero/febrero 2026</t>
  </si>
  <si>
    <t>SERVICIO</t>
  </si>
  <si>
    <t>TARIFA ACTUAL</t>
  </si>
  <si>
    <t>Distribución Zona 1 Capital y hasta 30 km</t>
  </si>
  <si>
    <t>$       43.330,00</t>
  </si>
  <si>
    <t>x mt3</t>
  </si>
  <si>
    <t>Distribución de 31 a 100 Km</t>
  </si>
  <si>
    <t>$       52.450,00</t>
  </si>
  <si>
    <t>Distribución de 101 a 200 Km</t>
  </si>
  <si>
    <t>$       65.810,00</t>
  </si>
  <si>
    <t>Distribución de 201 a 400 Km</t>
  </si>
  <si>
    <t>$       72.550,00</t>
  </si>
  <si>
    <t>Colecta Sucursal Córdoba (Balancín)</t>
  </si>
  <si>
    <t>$         338.500,00</t>
  </si>
  <si>
    <t> Por viaje </t>
  </si>
  <si>
    <t>Troncal Bs As – Córdoba Directo  </t>
  </si>
  <si>
    <t>$     1.630.910,00</t>
  </si>
  <si>
    <t>Troncal Bs As – Córdoba 2 puntos</t>
  </si>
  <si>
    <t>$     1.700.000,00</t>
  </si>
  <si>
    <t> Por viaje</t>
  </si>
  <si>
    <t>oct/nov/dic 2025 y enero 2026</t>
  </si>
  <si>
    <r>
      <t>NUEVA TARIFA (AJUSTE </t>
    </r>
    <r>
      <rPr>
        <u/>
        <sz val="12"/>
        <color rgb="FF222222"/>
        <rFont val="Trebuchet MS"/>
        <family val="2"/>
      </rPr>
      <t>16 </t>
    </r>
    <r>
      <rPr>
        <u/>
        <sz val="12"/>
        <color rgb="FF000000"/>
        <rFont val="Trebuchet MS"/>
        <family val="2"/>
      </rPr>
      <t>%)</t>
    </r>
  </si>
  <si>
    <r>
      <t>$       3</t>
    </r>
    <r>
      <rPr>
        <sz val="12"/>
        <color rgb="FF222222"/>
        <rFont val="Trebuchet MS"/>
        <family val="2"/>
      </rPr>
      <t>9</t>
    </r>
    <r>
      <rPr>
        <sz val="12"/>
        <color rgb="FF000000"/>
        <rFont val="Trebuchet MS"/>
        <family val="2"/>
      </rPr>
      <t>.</t>
    </r>
    <r>
      <rPr>
        <sz val="12"/>
        <color rgb="FF222222"/>
        <rFont val="Trebuchet MS"/>
        <family val="2"/>
      </rPr>
      <t>036</t>
    </r>
    <r>
      <rPr>
        <sz val="12"/>
        <color rgb="FF000000"/>
        <rFont val="Trebuchet MS"/>
        <family val="2"/>
      </rPr>
      <t>,00</t>
    </r>
  </si>
  <si>
    <r>
      <t>$       4</t>
    </r>
    <r>
      <rPr>
        <sz val="12"/>
        <color rgb="FF222222"/>
        <rFont val="Trebuchet MS"/>
        <family val="2"/>
      </rPr>
      <t>7</t>
    </r>
    <r>
      <rPr>
        <sz val="12"/>
        <color rgb="FF000000"/>
        <rFont val="Trebuchet MS"/>
        <family val="2"/>
      </rPr>
      <t>.</t>
    </r>
    <r>
      <rPr>
        <sz val="12"/>
        <color rgb="FF222222"/>
        <rFont val="Trebuchet MS"/>
        <family val="2"/>
      </rPr>
      <t>239</t>
    </r>
    <r>
      <rPr>
        <sz val="12"/>
        <color rgb="FF000000"/>
        <rFont val="Trebuchet MS"/>
        <family val="2"/>
      </rPr>
      <t>,00</t>
    </r>
  </si>
  <si>
    <r>
      <t>$       5</t>
    </r>
    <r>
      <rPr>
        <sz val="12"/>
        <color rgb="FF222222"/>
        <rFont val="Trebuchet MS"/>
        <family val="2"/>
      </rPr>
      <t>9</t>
    </r>
    <r>
      <rPr>
        <sz val="12"/>
        <color rgb="FF000000"/>
        <rFont val="Trebuchet MS"/>
        <family val="2"/>
      </rPr>
      <t>.</t>
    </r>
    <r>
      <rPr>
        <sz val="12"/>
        <color rgb="FF222222"/>
        <rFont val="Trebuchet MS"/>
        <family val="2"/>
      </rPr>
      <t>288</t>
    </r>
    <r>
      <rPr>
        <sz val="12"/>
        <color rgb="FF000000"/>
        <rFont val="Trebuchet MS"/>
        <family val="2"/>
      </rPr>
      <t>,00</t>
    </r>
  </si>
  <si>
    <r>
      <t>$       6</t>
    </r>
    <r>
      <rPr>
        <sz val="12"/>
        <color rgb="FF222222"/>
        <rFont val="Trebuchet MS"/>
        <family val="2"/>
      </rPr>
      <t>5</t>
    </r>
    <r>
      <rPr>
        <sz val="12"/>
        <color rgb="FF000000"/>
        <rFont val="Trebuchet MS"/>
        <family val="2"/>
      </rPr>
      <t>.3</t>
    </r>
    <r>
      <rPr>
        <sz val="12"/>
        <color rgb="FF222222"/>
        <rFont val="Trebuchet MS"/>
        <family val="2"/>
      </rPr>
      <t>63</t>
    </r>
    <r>
      <rPr>
        <sz val="12"/>
        <color rgb="FF000000"/>
        <rFont val="Trebuchet MS"/>
        <family val="2"/>
      </rPr>
      <t>,00</t>
    </r>
  </si>
  <si>
    <r>
      <t>$        </t>
    </r>
    <r>
      <rPr>
        <sz val="12"/>
        <color rgb="FF222222"/>
        <rFont val="Trebuchet MS"/>
        <family val="2"/>
      </rPr>
      <t>304.</t>
    </r>
    <r>
      <rPr>
        <sz val="12"/>
        <color rgb="FF000000"/>
        <rFont val="Trebuchet MS"/>
        <family val="2"/>
      </rPr>
      <t>9</t>
    </r>
    <r>
      <rPr>
        <sz val="12"/>
        <color rgb="FF222222"/>
        <rFont val="Trebuchet MS"/>
        <family val="2"/>
      </rPr>
      <t>75</t>
    </r>
    <r>
      <rPr>
        <sz val="12"/>
        <color rgb="FF000000"/>
        <rFont val="Trebuchet MS"/>
        <family val="2"/>
      </rPr>
      <t>,00</t>
    </r>
  </si>
  <si>
    <r>
      <t>$    1.</t>
    </r>
    <r>
      <rPr>
        <sz val="12"/>
        <color rgb="FF222222"/>
        <rFont val="Trebuchet MS"/>
        <family val="2"/>
      </rPr>
      <t>471</t>
    </r>
    <r>
      <rPr>
        <sz val="12"/>
        <color rgb="FF000000"/>
        <rFont val="Trebuchet MS"/>
        <family val="2"/>
      </rPr>
      <t>.</t>
    </r>
    <r>
      <rPr>
        <sz val="12"/>
        <color rgb="FF222222"/>
        <rFont val="Trebuchet MS"/>
        <family val="2"/>
      </rPr>
      <t>991</t>
    </r>
    <r>
      <rPr>
        <sz val="12"/>
        <color rgb="FF000000"/>
        <rFont val="Trebuchet MS"/>
        <family val="2"/>
      </rPr>
      <t>,00</t>
    </r>
  </si>
  <si>
    <r>
      <t>$    1.</t>
    </r>
    <r>
      <rPr>
        <sz val="12"/>
        <color rgb="FF222222"/>
        <rFont val="Trebuchet MS"/>
        <family val="2"/>
      </rPr>
      <t>533.400</t>
    </r>
    <r>
      <rPr>
        <sz val="12"/>
        <color rgb="FF000000"/>
        <rFont val="Trebuchet MS"/>
        <family val="2"/>
      </rPr>
      <t>,00</t>
    </r>
  </si>
  <si>
    <r>
      <t>NUEVA TARIFA (AJUSTE </t>
    </r>
    <r>
      <rPr>
        <u/>
        <sz val="12"/>
        <color rgb="FF212121"/>
        <rFont val="Trebuchet MS"/>
        <family val="2"/>
      </rPr>
      <t>11</t>
    </r>
    <r>
      <rPr>
        <u/>
        <sz val="12"/>
        <color rgb="FF000000"/>
        <rFont val="Trebuchet MS"/>
        <family val="2"/>
      </rPr>
      <t>%)</t>
    </r>
  </si>
  <si>
    <t>TARIFARIO por PROVINCIA
ALFARO</t>
  </si>
  <si>
    <t>TARIFARIO ENVIOS C.A.B.A. / G.B.A. / INTERIOR:  Vigencia 01/04/2026</t>
  </si>
  <si>
    <t>Actualizado al 21.10.2025</t>
  </si>
  <si>
    <t>Costo de entrega express - CABA y GBA</t>
  </si>
  <si>
    <t>ZONAS</t>
  </si>
  <si>
    <t>Zona 1</t>
  </si>
  <si>
    <t>Zona 2</t>
  </si>
  <si>
    <t>Zona 3</t>
  </si>
  <si>
    <t>Zona 4</t>
  </si>
  <si>
    <t>Punto de partida del Flete</t>
  </si>
  <si>
    <t>Capital Federal</t>
  </si>
  <si>
    <t>Hasta 10 Km.</t>
  </si>
  <si>
    <t>Hasta 20 Km.</t>
  </si>
  <si>
    <t>Hasta 40 Km.</t>
  </si>
  <si>
    <t>Más 40 Km.</t>
  </si>
  <si>
    <t>Abona Wamaro</t>
  </si>
  <si>
    <t>Abona CLIENTE</t>
  </si>
  <si>
    <t>precio mt3</t>
  </si>
  <si>
    <r>
      <t xml:space="preserve">Colchon de 1 PL.                                              </t>
    </r>
    <r>
      <rPr>
        <b/>
        <sz val="11"/>
        <rFont val="Arial"/>
        <family val="2"/>
      </rPr>
      <t xml:space="preserve"> (80-90-100)  </t>
    </r>
    <r>
      <rPr>
        <b/>
        <sz val="11"/>
        <color indexed="12"/>
        <rFont val="Arial"/>
        <family val="2"/>
      </rPr>
      <t>Promedio 0,5 mt3</t>
    </r>
  </si>
  <si>
    <t>3500/km</t>
  </si>
  <si>
    <r>
      <t xml:space="preserve">Colchon de 2 PL.                                    </t>
    </r>
    <r>
      <rPr>
        <b/>
        <sz val="11"/>
        <rFont val="Arial"/>
        <family val="2"/>
      </rPr>
      <t xml:space="preserve">   (130-140-150)  </t>
    </r>
    <r>
      <rPr>
        <b/>
        <sz val="11"/>
        <color indexed="12"/>
        <rFont val="Arial"/>
        <family val="2"/>
      </rPr>
      <t>Promedio 0,8 mt3</t>
    </r>
  </si>
  <si>
    <r>
      <t xml:space="preserve">Colchon Queen/King                                           </t>
    </r>
    <r>
      <rPr>
        <b/>
        <sz val="11"/>
        <rFont val="Arial"/>
        <family val="2"/>
      </rPr>
      <t xml:space="preserve">  (160-180-200)  </t>
    </r>
    <r>
      <rPr>
        <b/>
        <sz val="11"/>
        <color indexed="12"/>
        <rFont val="Arial"/>
        <family val="2"/>
      </rPr>
      <t>Promedio 1 mt3</t>
    </r>
  </si>
  <si>
    <r>
      <t>Conjunto de 1 PL.</t>
    </r>
    <r>
      <rPr>
        <b/>
        <sz val="12"/>
        <rFont val="Arial"/>
        <family val="2"/>
      </rPr>
      <t xml:space="preserve">                                                        </t>
    </r>
    <r>
      <rPr>
        <b/>
        <sz val="11"/>
        <rFont val="Arial"/>
        <family val="2"/>
      </rPr>
      <t xml:space="preserve"> (80-90-100)  </t>
    </r>
    <r>
      <rPr>
        <b/>
        <sz val="11"/>
        <color indexed="12"/>
        <rFont val="Arial"/>
        <family val="2"/>
      </rPr>
      <t>Promedio 0,8 mt3</t>
    </r>
  </si>
  <si>
    <r>
      <t>Conjunto de 2 PL.</t>
    </r>
    <r>
      <rPr>
        <b/>
        <sz val="12"/>
        <rFont val="Arial"/>
        <family val="2"/>
      </rPr>
      <t xml:space="preserve">                                                          </t>
    </r>
    <r>
      <rPr>
        <b/>
        <sz val="11"/>
        <rFont val="Arial"/>
        <family val="2"/>
      </rPr>
      <t xml:space="preserve">          (130-140-150)  </t>
    </r>
    <r>
      <rPr>
        <b/>
        <sz val="11"/>
        <color indexed="12"/>
        <rFont val="Arial"/>
        <family val="2"/>
      </rPr>
      <t>Promedio 1,3 mt3</t>
    </r>
  </si>
  <si>
    <r>
      <t>Conjunto Queen /King</t>
    </r>
    <r>
      <rPr>
        <b/>
        <sz val="12"/>
        <rFont val="Arial"/>
        <family val="2"/>
      </rPr>
      <t xml:space="preserve">                                                 </t>
    </r>
    <r>
      <rPr>
        <b/>
        <sz val="11"/>
        <rFont val="Arial"/>
        <family val="2"/>
      </rPr>
      <t xml:space="preserve"> (160-180-200)  </t>
    </r>
    <r>
      <rPr>
        <b/>
        <sz val="11"/>
        <color indexed="12"/>
        <rFont val="Arial"/>
        <family val="2"/>
      </rPr>
      <t>Promedio 1,8 mt3</t>
    </r>
  </si>
  <si>
    <r>
      <t xml:space="preserve">Divanes / Sillones / Muebles  </t>
    </r>
    <r>
      <rPr>
        <b/>
        <sz val="11"/>
        <color indexed="12"/>
        <rFont val="Arial"/>
        <family val="2"/>
      </rPr>
      <t>Promedio 1,3 mt3</t>
    </r>
  </si>
  <si>
    <t>Adicionales</t>
  </si>
  <si>
    <r>
      <rPr>
        <b/>
        <sz val="16"/>
        <rFont val="Arial"/>
        <family val="2"/>
      </rPr>
      <t>Logistica Inversa</t>
    </r>
    <r>
      <rPr>
        <sz val="12"/>
        <rFont val="Arial"/>
        <family val="2"/>
      </rPr>
      <t xml:space="preserve">
S</t>
    </r>
    <r>
      <rPr>
        <sz val="11"/>
        <rFont val="Arial"/>
        <family val="2"/>
      </rPr>
      <t>olo cuando se realizan cambios y el producto vuelve en el momento</t>
    </r>
  </si>
  <si>
    <r>
      <rPr>
        <b/>
        <sz val="14"/>
        <rFont val="Arial"/>
        <family val="2"/>
      </rPr>
      <t>Abastecimiento x hora</t>
    </r>
    <r>
      <rPr>
        <b/>
        <sz val="16"/>
        <rFont val="Arial"/>
        <family val="2"/>
      </rPr>
      <t xml:space="preserve">
$ 20000</t>
    </r>
  </si>
  <si>
    <r>
      <t xml:space="preserve">A partir del 2º piso
</t>
    </r>
    <r>
      <rPr>
        <sz val="11"/>
        <rFont val="Arial"/>
        <family val="2"/>
      </rPr>
      <t>No se cobra Planta Alta ni 1º piso</t>
    </r>
  </si>
  <si>
    <r>
      <rPr>
        <b/>
        <sz val="28"/>
        <rFont val="Arial"/>
        <family val="2"/>
      </rPr>
      <t xml:space="preserve">$ 9000
</t>
    </r>
    <r>
      <rPr>
        <sz val="11"/>
        <rFont val="Arial"/>
        <family val="2"/>
      </rPr>
      <t>x cada piso</t>
    </r>
  </si>
  <si>
    <t>Sin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</si>
</sst>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&quot;$&quot;\ #,##0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14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8"/>
      <color indexed="62"/>
      <name val="Cambria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sz val="22"/>
      <name val="Trebuchet MS"/>
      <family val="2"/>
    </font>
    <font>
      <sz val="10"/>
      <name val="Trebuchet MS"/>
      <family val="2"/>
    </font>
    <font>
      <b/>
      <sz val="12"/>
      <name val="Trebuchet MS"/>
      <family val="2"/>
    </font>
    <font>
      <sz val="14"/>
      <name val="Trebuchet MS"/>
      <family val="2"/>
    </font>
    <font>
      <sz val="8"/>
      <name val="Trebuchet MS"/>
      <family val="2"/>
    </font>
    <font>
      <b/>
      <sz val="9"/>
      <color theme="1"/>
      <name val="Trebuchet MS"/>
      <family val="2"/>
    </font>
    <font>
      <b/>
      <sz val="9"/>
      <color theme="0"/>
      <name val="Trebuchet MS"/>
      <family val="2"/>
    </font>
    <font>
      <sz val="14"/>
      <color theme="0"/>
      <name val="Trebuchet MS"/>
      <family val="2"/>
    </font>
    <font>
      <b/>
      <sz val="10"/>
      <name val="Trebuchet MS"/>
      <family val="2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Trebuchet MS"/>
      <family val="2"/>
    </font>
    <font>
      <u/>
      <sz val="12"/>
      <color rgb="FF000000"/>
      <name val="Trebuchet MS"/>
      <family val="2"/>
    </font>
    <font>
      <u/>
      <sz val="12"/>
      <color rgb="FF222222"/>
      <name val="Trebuchet MS"/>
      <family val="2"/>
    </font>
    <font>
      <sz val="12"/>
      <color rgb="FF000000"/>
      <name val="Trebuchet MS"/>
      <family val="2"/>
    </font>
    <font>
      <sz val="12"/>
      <color rgb="FF212121"/>
      <name val="Trebuchet MS"/>
      <family val="2"/>
    </font>
    <font>
      <u/>
      <sz val="12"/>
      <color rgb="FF212121"/>
      <name val="Trebuchet MS"/>
      <family val="2"/>
    </font>
    <font>
      <b/>
      <sz val="10"/>
      <name val="Arial"/>
      <family val="2"/>
    </font>
    <font>
      <b/>
      <sz val="20"/>
      <color indexed="9"/>
      <name val="Arial"/>
      <family val="2"/>
    </font>
    <font>
      <b/>
      <sz val="18"/>
      <color theme="0"/>
      <name val="Arial"/>
      <family val="2"/>
    </font>
    <font>
      <b/>
      <sz val="14"/>
      <name val="Arial"/>
      <family val="2"/>
    </font>
    <font>
      <b/>
      <sz val="16"/>
      <color theme="0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sz val="13"/>
      <color theme="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8"/>
      <color indexed="9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28"/>
      <name val="Arial"/>
      <family val="2"/>
    </font>
    <font>
      <b/>
      <sz val="26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59999389629810485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3" borderId="0" applyNumberFormat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2" borderId="1" applyNumberFormat="0" applyAlignment="0" applyProtection="0"/>
    <xf numFmtId="0" fontId="7" fillId="16" borderId="2" applyNumberFormat="0" applyAlignment="0" applyProtection="0"/>
    <xf numFmtId="0" fontId="8" fillId="0" borderId="0" applyNumberFormat="0" applyFill="0" applyBorder="0" applyAlignment="0" applyProtection="0"/>
    <xf numFmtId="0" fontId="9" fillId="15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1" applyNumberFormat="0" applyAlignment="0" applyProtection="0"/>
    <xf numFmtId="0" fontId="14" fillId="0" borderId="3" applyNumberFormat="0" applyFill="0" applyAlignment="0" applyProtection="0"/>
    <xf numFmtId="0" fontId="15" fillId="8" borderId="0" applyNumberFormat="0" applyBorder="0" applyAlignment="0" applyProtection="0"/>
    <xf numFmtId="0" fontId="2" fillId="4" borderId="7" applyNumberFormat="0" applyFont="0" applyAlignment="0" applyProtection="0"/>
    <xf numFmtId="0" fontId="16" fillId="2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81">
    <xf numFmtId="0" fontId="0" fillId="0" borderId="0" xfId="0"/>
    <xf numFmtId="0" fontId="21" fillId="17" borderId="0" xfId="0" applyFont="1" applyFill="1" applyAlignment="1">
      <alignment horizontal="center"/>
    </xf>
    <xf numFmtId="0" fontId="22" fillId="17" borderId="19" xfId="0" applyFont="1" applyFill="1" applyBorder="1" applyAlignment="1">
      <alignment horizontal="center" vertical="center"/>
    </xf>
    <xf numFmtId="1" fontId="23" fillId="17" borderId="22" xfId="0" applyNumberFormat="1" applyFont="1" applyFill="1" applyBorder="1" applyAlignment="1">
      <alignment horizontal="center"/>
    </xf>
    <xf numFmtId="1" fontId="23" fillId="17" borderId="24" xfId="0" applyNumberFormat="1" applyFont="1" applyFill="1" applyBorder="1" applyAlignment="1">
      <alignment horizontal="center"/>
    </xf>
    <xf numFmtId="0" fontId="22" fillId="17" borderId="19" xfId="0" applyFont="1" applyFill="1" applyBorder="1" applyAlignment="1">
      <alignment horizontal="center"/>
    </xf>
    <xf numFmtId="0" fontId="22" fillId="17" borderId="20" xfId="0" applyFont="1" applyFill="1" applyBorder="1" applyAlignment="1">
      <alignment horizontal="center"/>
    </xf>
    <xf numFmtId="1" fontId="23" fillId="17" borderId="23" xfId="0" applyNumberFormat="1" applyFont="1" applyFill="1" applyBorder="1" applyAlignment="1">
      <alignment horizontal="center"/>
    </xf>
    <xf numFmtId="1" fontId="23" fillId="17" borderId="25" xfId="0" applyNumberFormat="1" applyFont="1" applyFill="1" applyBorder="1" applyAlignment="1">
      <alignment horizontal="center"/>
    </xf>
    <xf numFmtId="0" fontId="24" fillId="17" borderId="0" xfId="0" applyFont="1" applyFill="1" applyAlignment="1">
      <alignment horizontal="center"/>
    </xf>
    <xf numFmtId="0" fontId="24" fillId="17" borderId="0" xfId="0" applyFont="1" applyFill="1"/>
    <xf numFmtId="1" fontId="26" fillId="18" borderId="13" xfId="0" quotePrefix="1" applyNumberFormat="1" applyFont="1" applyFill="1" applyBorder="1" applyAlignment="1">
      <alignment horizontal="center" vertical="center" wrapText="1"/>
    </xf>
    <xf numFmtId="1" fontId="27" fillId="18" borderId="21" xfId="0" applyNumberFormat="1" applyFont="1" applyFill="1" applyBorder="1" applyAlignment="1">
      <alignment horizontal="center"/>
    </xf>
    <xf numFmtId="0" fontId="22" fillId="17" borderId="24" xfId="0" applyFont="1" applyFill="1" applyBorder="1" applyAlignment="1">
      <alignment horizontal="center" vertical="center"/>
    </xf>
    <xf numFmtId="0" fontId="22" fillId="17" borderId="24" xfId="0" applyFont="1" applyFill="1" applyBorder="1" applyAlignment="1">
      <alignment horizontal="center"/>
    </xf>
    <xf numFmtId="0" fontId="22" fillId="17" borderId="25" xfId="0" applyFont="1" applyFill="1" applyBorder="1" applyAlignment="1">
      <alignment horizontal="center"/>
    </xf>
    <xf numFmtId="0" fontId="22" fillId="19" borderId="12" xfId="0" applyFont="1" applyFill="1" applyBorder="1" applyAlignment="1">
      <alignment horizontal="center" vertical="center"/>
    </xf>
    <xf numFmtId="1" fontId="25" fillId="19" borderId="13" xfId="0" quotePrefix="1" applyNumberFormat="1" applyFont="1" applyFill="1" applyBorder="1" applyAlignment="1">
      <alignment horizontal="center" vertical="center" wrapText="1"/>
    </xf>
    <xf numFmtId="1" fontId="25" fillId="19" borderId="12" xfId="0" quotePrefix="1" applyNumberFormat="1" applyFont="1" applyFill="1" applyBorder="1" applyAlignment="1">
      <alignment horizontal="center" vertical="center" wrapText="1"/>
    </xf>
    <xf numFmtId="1" fontId="23" fillId="19" borderId="24" xfId="0" applyNumberFormat="1" applyFont="1" applyFill="1" applyBorder="1" applyAlignment="1">
      <alignment horizontal="center"/>
    </xf>
    <xf numFmtId="1" fontId="23" fillId="19" borderId="22" xfId="0" applyNumberFormat="1" applyFont="1" applyFill="1" applyBorder="1" applyAlignment="1">
      <alignment horizontal="center"/>
    </xf>
    <xf numFmtId="0" fontId="22" fillId="19" borderId="24" xfId="0" applyFont="1" applyFill="1" applyBorder="1" applyAlignment="1">
      <alignment horizontal="center" vertical="center"/>
    </xf>
    <xf numFmtId="0" fontId="22" fillId="19" borderId="19" xfId="0" applyFont="1" applyFill="1" applyBorder="1" applyAlignment="1">
      <alignment horizontal="center"/>
    </xf>
    <xf numFmtId="0" fontId="22" fillId="19" borderId="24" xfId="0" applyFont="1" applyFill="1" applyBorder="1" applyAlignment="1">
      <alignment horizontal="center"/>
    </xf>
    <xf numFmtId="0" fontId="22" fillId="19" borderId="14" xfId="0" applyFont="1" applyFill="1" applyBorder="1" applyAlignment="1">
      <alignment horizontal="center" vertical="center"/>
    </xf>
    <xf numFmtId="1" fontId="21" fillId="17" borderId="0" xfId="0" applyNumberFormat="1" applyFont="1" applyFill="1" applyAlignment="1">
      <alignment horizontal="center"/>
    </xf>
    <xf numFmtId="17" fontId="21" fillId="17" borderId="0" xfId="0" applyNumberFormat="1" applyFont="1" applyFill="1" applyAlignment="1">
      <alignment horizontal="center"/>
    </xf>
    <xf numFmtId="16" fontId="0" fillId="0" borderId="0" xfId="0" applyNumberFormat="1"/>
    <xf numFmtId="0" fontId="0" fillId="0" borderId="0" xfId="0" applyAlignment="1">
      <alignment horizontal="center" vertical="center"/>
    </xf>
    <xf numFmtId="0" fontId="0" fillId="0" borderId="28" xfId="0" applyBorder="1"/>
    <xf numFmtId="165" fontId="0" fillId="0" borderId="13" xfId="0" applyNumberFormat="1" applyBorder="1" applyAlignment="1">
      <alignment horizontal="center" vertical="center"/>
    </xf>
    <xf numFmtId="0" fontId="0" fillId="0" borderId="30" xfId="0" applyBorder="1"/>
    <xf numFmtId="0" fontId="0" fillId="0" borderId="32" xfId="0" applyBorder="1"/>
    <xf numFmtId="0" fontId="0" fillId="0" borderId="31" xfId="0" applyBorder="1"/>
    <xf numFmtId="0" fontId="0" fillId="0" borderId="29" xfId="0" applyBorder="1"/>
    <xf numFmtId="0" fontId="0" fillId="0" borderId="33" xfId="0" applyBorder="1"/>
    <xf numFmtId="0" fontId="29" fillId="0" borderId="0" xfId="0" applyFont="1"/>
    <xf numFmtId="164" fontId="0" fillId="0" borderId="13" xfId="0" applyNumberFormat="1" applyBorder="1"/>
    <xf numFmtId="0" fontId="29" fillId="0" borderId="12" xfId="0" applyFont="1" applyBorder="1"/>
    <xf numFmtId="0" fontId="0" fillId="0" borderId="13" xfId="0" applyBorder="1" applyAlignment="1">
      <alignment horizontal="center"/>
    </xf>
    <xf numFmtId="0" fontId="0" fillId="0" borderId="36" xfId="0" applyBorder="1"/>
    <xf numFmtId="0" fontId="0" fillId="0" borderId="21" xfId="0" applyBorder="1"/>
    <xf numFmtId="0" fontId="0" fillId="0" borderId="37" xfId="0" applyBorder="1"/>
    <xf numFmtId="0" fontId="0" fillId="0" borderId="22" xfId="0" applyBorder="1"/>
    <xf numFmtId="0" fontId="0" fillId="0" borderId="38" xfId="0" applyBorder="1"/>
    <xf numFmtId="0" fontId="0" fillId="0" borderId="23" xfId="0" applyBorder="1"/>
    <xf numFmtId="0" fontId="21" fillId="0" borderId="0" xfId="0" applyFont="1"/>
    <xf numFmtId="0" fontId="31" fillId="21" borderId="0" xfId="0" applyFont="1" applyFill="1"/>
    <xf numFmtId="0" fontId="32" fillId="21" borderId="45" xfId="0" applyFont="1" applyFill="1" applyBorder="1" applyAlignment="1">
      <alignment vertical="center"/>
    </xf>
    <xf numFmtId="0" fontId="32" fillId="21" borderId="46" xfId="0" applyFont="1" applyFill="1" applyBorder="1" applyAlignment="1">
      <alignment vertical="center"/>
    </xf>
    <xf numFmtId="0" fontId="32" fillId="21" borderId="41" xfId="0" applyFont="1" applyFill="1" applyBorder="1" applyAlignment="1">
      <alignment vertical="center"/>
    </xf>
    <xf numFmtId="0" fontId="34" fillId="21" borderId="47" xfId="0" applyFont="1" applyFill="1" applyBorder="1" applyAlignment="1">
      <alignment vertical="center"/>
    </xf>
    <xf numFmtId="0" fontId="34" fillId="21" borderId="48" xfId="0" applyFont="1" applyFill="1" applyBorder="1" applyAlignment="1">
      <alignment vertical="center"/>
    </xf>
    <xf numFmtId="0" fontId="34" fillId="21" borderId="49" xfId="0" applyFont="1" applyFill="1" applyBorder="1" applyAlignment="1">
      <alignment vertical="center"/>
    </xf>
    <xf numFmtId="0" fontId="34" fillId="21" borderId="50" xfId="0" applyFont="1" applyFill="1" applyBorder="1" applyAlignment="1">
      <alignment vertical="center"/>
    </xf>
    <xf numFmtId="0" fontId="34" fillId="21" borderId="0" xfId="0" applyFont="1" applyFill="1" applyAlignment="1">
      <alignment vertical="center"/>
    </xf>
    <xf numFmtId="0" fontId="34" fillId="21" borderId="51" xfId="0" applyFont="1" applyFill="1" applyBorder="1" applyAlignment="1">
      <alignment vertical="center"/>
    </xf>
    <xf numFmtId="0" fontId="35" fillId="21" borderId="50" xfId="0" applyFont="1" applyFill="1" applyBorder="1" applyAlignment="1">
      <alignment vertical="center"/>
    </xf>
    <xf numFmtId="0" fontId="35" fillId="21" borderId="52" xfId="0" applyFont="1" applyFill="1" applyBorder="1" applyAlignment="1">
      <alignment vertical="center"/>
    </xf>
    <xf numFmtId="0" fontId="34" fillId="21" borderId="53" xfId="0" applyFont="1" applyFill="1" applyBorder="1" applyAlignment="1">
      <alignment vertical="center"/>
    </xf>
    <xf numFmtId="0" fontId="34" fillId="21" borderId="43" xfId="0" applyFont="1" applyFill="1" applyBorder="1" applyAlignment="1">
      <alignment vertical="center"/>
    </xf>
    <xf numFmtId="0" fontId="35" fillId="21" borderId="0" xfId="0" applyFont="1" applyFill="1" applyAlignment="1">
      <alignment vertical="center"/>
    </xf>
    <xf numFmtId="0" fontId="32" fillId="21" borderId="13" xfId="0" applyFont="1" applyFill="1" applyBorder="1" applyAlignment="1">
      <alignment vertical="center"/>
    </xf>
    <xf numFmtId="0" fontId="34" fillId="21" borderId="42" xfId="0" applyFont="1" applyFill="1" applyBorder="1" applyAlignment="1">
      <alignment vertical="center"/>
    </xf>
    <xf numFmtId="0" fontId="34" fillId="21" borderId="44" xfId="0" applyFont="1" applyFill="1" applyBorder="1" applyAlignment="1">
      <alignment vertical="center"/>
    </xf>
    <xf numFmtId="0" fontId="35" fillId="21" borderId="42" xfId="0" applyFont="1" applyFill="1" applyBorder="1" applyAlignment="1">
      <alignment vertical="center"/>
    </xf>
    <xf numFmtId="17" fontId="21" fillId="0" borderId="0" xfId="0" applyNumberFormat="1" applyFont="1" applyAlignment="1">
      <alignment horizontal="center"/>
    </xf>
    <xf numFmtId="0" fontId="20" fillId="17" borderId="11" xfId="0" applyFont="1" applyFill="1" applyBorder="1" applyAlignment="1">
      <alignment horizontal="center"/>
    </xf>
    <xf numFmtId="0" fontId="20" fillId="17" borderId="12" xfId="0" applyFont="1" applyFill="1" applyBorder="1" applyAlignment="1">
      <alignment horizontal="center"/>
    </xf>
    <xf numFmtId="0" fontId="20" fillId="17" borderId="10" xfId="0" applyFont="1" applyFill="1" applyBorder="1" applyAlignment="1">
      <alignment horizontal="center"/>
    </xf>
    <xf numFmtId="0" fontId="22" fillId="19" borderId="17" xfId="0" applyFont="1" applyFill="1" applyBorder="1" applyAlignment="1">
      <alignment horizontal="center" vertical="center"/>
    </xf>
    <xf numFmtId="0" fontId="22" fillId="19" borderId="18" xfId="0" applyFont="1" applyFill="1" applyBorder="1" applyAlignment="1">
      <alignment horizontal="center" vertical="center"/>
    </xf>
    <xf numFmtId="0" fontId="22" fillId="19" borderId="14" xfId="0" applyFont="1" applyFill="1" applyBorder="1" applyAlignment="1">
      <alignment horizontal="center" vertical="center"/>
    </xf>
    <xf numFmtId="0" fontId="22" fillId="17" borderId="14" xfId="0" applyFont="1" applyFill="1" applyBorder="1" applyAlignment="1">
      <alignment horizontal="center" vertical="center"/>
    </xf>
    <xf numFmtId="0" fontId="22" fillId="19" borderId="27" xfId="0" applyFont="1" applyFill="1" applyBorder="1" applyAlignment="1">
      <alignment horizontal="center" vertical="center"/>
    </xf>
    <xf numFmtId="0" fontId="22" fillId="19" borderId="24" xfId="0" applyFont="1" applyFill="1" applyBorder="1" applyAlignment="1">
      <alignment horizontal="center" vertical="center"/>
    </xf>
    <xf numFmtId="0" fontId="22" fillId="17" borderId="15" xfId="0" applyFont="1" applyFill="1" applyBorder="1" applyAlignment="1">
      <alignment horizontal="center" vertical="center"/>
    </xf>
    <xf numFmtId="44" fontId="0" fillId="0" borderId="29" xfId="0" applyNumberFormat="1" applyBorder="1" applyAlignment="1">
      <alignment horizontal="center" vertical="center"/>
    </xf>
    <xf numFmtId="44" fontId="0" fillId="0" borderId="31" xfId="0" applyNumberFormat="1" applyBorder="1" applyAlignment="1">
      <alignment horizontal="center" vertical="center"/>
    </xf>
    <xf numFmtId="44" fontId="0" fillId="0" borderId="3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165" fontId="0" fillId="0" borderId="31" xfId="0" applyNumberFormat="1" applyBorder="1" applyAlignment="1">
      <alignment horizontal="center" vertical="center"/>
    </xf>
    <xf numFmtId="165" fontId="0" fillId="0" borderId="33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0" fillId="20" borderId="11" xfId="0" applyFill="1" applyBorder="1" applyAlignment="1">
      <alignment horizontal="center"/>
    </xf>
    <xf numFmtId="0" fontId="0" fillId="20" borderId="12" xfId="0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7" fontId="28" fillId="0" borderId="30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2" fillId="19" borderId="11" xfId="0" applyFont="1" applyFill="1" applyBorder="1" applyAlignment="1">
      <alignment horizontal="center" vertical="center" wrapText="1"/>
    </xf>
    <xf numFmtId="0" fontId="22" fillId="19" borderId="12" xfId="0" applyFont="1" applyFill="1" applyBorder="1" applyAlignment="1">
      <alignment horizontal="center" vertical="center" wrapText="1"/>
    </xf>
    <xf numFmtId="0" fontId="22" fillId="19" borderId="10" xfId="0" applyFont="1" applyFill="1" applyBorder="1" applyAlignment="1">
      <alignment horizontal="center" vertical="center" wrapText="1"/>
    </xf>
    <xf numFmtId="0" fontId="22" fillId="17" borderId="40" xfId="0" applyFont="1" applyFill="1" applyBorder="1" applyAlignment="1">
      <alignment horizontal="center" vertical="center"/>
    </xf>
    <xf numFmtId="0" fontId="22" fillId="17" borderId="16" xfId="0" applyFont="1" applyFill="1" applyBorder="1" applyAlignment="1">
      <alignment horizontal="center" vertical="center"/>
    </xf>
    <xf numFmtId="0" fontId="22" fillId="19" borderId="11" xfId="0" applyFont="1" applyFill="1" applyBorder="1" applyAlignment="1">
      <alignment horizontal="center" vertical="center"/>
    </xf>
    <xf numFmtId="0" fontId="22" fillId="19" borderId="12" xfId="0" applyFont="1" applyFill="1" applyBorder="1" applyAlignment="1">
      <alignment horizontal="center" vertical="center"/>
    </xf>
    <xf numFmtId="0" fontId="22" fillId="19" borderId="26" xfId="0" applyFont="1" applyFill="1" applyBorder="1" applyAlignment="1">
      <alignment horizontal="center" vertical="center"/>
    </xf>
    <xf numFmtId="0" fontId="22" fillId="19" borderId="16" xfId="0" applyFont="1" applyFill="1" applyBorder="1" applyAlignment="1">
      <alignment horizontal="center" vertical="center"/>
    </xf>
    <xf numFmtId="0" fontId="22" fillId="17" borderId="26" xfId="0" applyFont="1" applyFill="1" applyBorder="1" applyAlignment="1">
      <alignment horizontal="center" vertical="center"/>
    </xf>
    <xf numFmtId="0" fontId="22" fillId="17" borderId="39" xfId="0" applyFont="1" applyFill="1" applyBorder="1" applyAlignment="1">
      <alignment horizontal="center" vertical="center"/>
    </xf>
    <xf numFmtId="17" fontId="28" fillId="0" borderId="30" xfId="0" applyNumberFormat="1" applyFont="1" applyBorder="1" applyAlignment="1">
      <alignment horizontal="center" vertical="center" wrapText="1"/>
    </xf>
    <xf numFmtId="16" fontId="0" fillId="0" borderId="0" xfId="0" applyNumberFormat="1" applyFill="1"/>
    <xf numFmtId="0" fontId="1" fillId="0" borderId="0" xfId="0" applyFont="1" applyFill="1"/>
    <xf numFmtId="165" fontId="0" fillId="0" borderId="13" xfId="0" applyNumberFormat="1" applyFill="1" applyBorder="1" applyAlignment="1">
      <alignment horizontal="center" vertical="center"/>
    </xf>
    <xf numFmtId="165" fontId="1" fillId="0" borderId="13" xfId="0" applyNumberFormat="1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165" fontId="0" fillId="0" borderId="13" xfId="0" applyNumberFormat="1" applyFill="1" applyBorder="1" applyAlignment="1">
      <alignment horizontal="center" vertical="center"/>
    </xf>
    <xf numFmtId="0" fontId="0" fillId="0" borderId="0" xfId="0" applyFill="1"/>
    <xf numFmtId="165" fontId="0" fillId="0" borderId="29" xfId="0" applyNumberFormat="1" applyFill="1" applyBorder="1" applyAlignment="1">
      <alignment horizontal="center" vertical="center"/>
    </xf>
    <xf numFmtId="165" fontId="0" fillId="0" borderId="31" xfId="0" applyNumberFormat="1" applyFill="1" applyBorder="1" applyAlignment="1">
      <alignment horizontal="center" vertical="center"/>
    </xf>
    <xf numFmtId="165" fontId="0" fillId="0" borderId="33" xfId="0" applyNumberFormat="1" applyFill="1" applyBorder="1" applyAlignment="1">
      <alignment horizontal="center" vertical="center"/>
    </xf>
    <xf numFmtId="164" fontId="1" fillId="22" borderId="13" xfId="0" applyNumberFormat="1" applyFont="1" applyFill="1" applyBorder="1" applyAlignment="1">
      <alignment horizontal="center" vertical="center"/>
    </xf>
    <xf numFmtId="164" fontId="0" fillId="22" borderId="13" xfId="0" applyNumberFormat="1" applyFill="1" applyBorder="1" applyAlignment="1">
      <alignment horizontal="center" vertical="center"/>
    </xf>
    <xf numFmtId="164" fontId="0" fillId="22" borderId="13" xfId="0" applyNumberFormat="1" applyFill="1" applyBorder="1" applyAlignment="1">
      <alignment horizontal="center" vertical="center"/>
    </xf>
    <xf numFmtId="165" fontId="0" fillId="22" borderId="29" xfId="0" applyNumberFormat="1" applyFill="1" applyBorder="1" applyAlignment="1">
      <alignment horizontal="center" vertical="center"/>
    </xf>
    <xf numFmtId="165" fontId="0" fillId="22" borderId="31" xfId="0" applyNumberFormat="1" applyFill="1" applyBorder="1" applyAlignment="1">
      <alignment horizontal="center" vertical="center"/>
    </xf>
    <xf numFmtId="165" fontId="0" fillId="22" borderId="33" xfId="0" applyNumberFormat="1" applyFill="1" applyBorder="1" applyAlignment="1">
      <alignment horizontal="center" vertical="center"/>
    </xf>
    <xf numFmtId="17" fontId="0" fillId="22" borderId="0" xfId="0" applyNumberFormat="1" applyFill="1"/>
    <xf numFmtId="17" fontId="21" fillId="22" borderId="0" xfId="0" applyNumberFormat="1" applyFont="1" applyFill="1"/>
    <xf numFmtId="0" fontId="37" fillId="0" borderId="54" xfId="0" applyFont="1" applyBorder="1" applyAlignment="1">
      <alignment horizontal="left"/>
    </xf>
    <xf numFmtId="0" fontId="38" fillId="23" borderId="55" xfId="0" applyFont="1" applyFill="1" applyBorder="1" applyAlignment="1">
      <alignment horizontal="center" vertical="center" wrapText="1"/>
    </xf>
    <xf numFmtId="0" fontId="38" fillId="23" borderId="54" xfId="0" applyFont="1" applyFill="1" applyBorder="1" applyAlignment="1">
      <alignment horizontal="center" vertical="center" wrapText="1"/>
    </xf>
    <xf numFmtId="0" fontId="39" fillId="23" borderId="56" xfId="0" applyFont="1" applyFill="1" applyBorder="1" applyAlignment="1">
      <alignment vertical="center" wrapText="1"/>
    </xf>
    <xf numFmtId="0" fontId="40" fillId="24" borderId="56" xfId="0" applyFont="1" applyFill="1" applyBorder="1" applyAlignment="1">
      <alignment horizontal="center" vertical="center" wrapText="1"/>
    </xf>
    <xf numFmtId="0" fontId="40" fillId="24" borderId="56" xfId="0" quotePrefix="1" applyFont="1" applyFill="1" applyBorder="1" applyAlignment="1">
      <alignment horizontal="center" vertical="center" wrapText="1"/>
    </xf>
    <xf numFmtId="0" fontId="40" fillId="25" borderId="56" xfId="0" applyFont="1" applyFill="1" applyBorder="1" applyAlignment="1">
      <alignment horizontal="center" vertical="center" wrapText="1"/>
    </xf>
    <xf numFmtId="0" fontId="40" fillId="25" borderId="56" xfId="0" quotePrefix="1" applyFont="1" applyFill="1" applyBorder="1" applyAlignment="1">
      <alignment horizontal="center" vertical="center" wrapText="1"/>
    </xf>
    <xf numFmtId="0" fontId="41" fillId="23" borderId="57" xfId="0" applyFont="1" applyFill="1" applyBorder="1" applyAlignment="1">
      <alignment horizontal="center" vertical="center" wrapText="1"/>
    </xf>
    <xf numFmtId="0" fontId="42" fillId="24" borderId="56" xfId="0" applyFont="1" applyFill="1" applyBorder="1" applyAlignment="1">
      <alignment horizontal="center" vertical="center" wrapText="1"/>
    </xf>
    <xf numFmtId="0" fontId="41" fillId="23" borderId="58" xfId="0" applyFont="1" applyFill="1" applyBorder="1" applyAlignment="1">
      <alignment horizontal="center" vertical="center" wrapText="1"/>
    </xf>
    <xf numFmtId="0" fontId="42" fillId="24" borderId="56" xfId="0" applyFont="1" applyFill="1" applyBorder="1" applyAlignment="1">
      <alignment horizontal="center" vertical="center" wrapText="1"/>
    </xf>
    <xf numFmtId="0" fontId="43" fillId="26" borderId="59" xfId="0" applyFont="1" applyFill="1" applyBorder="1" applyAlignment="1">
      <alignment horizontal="center" vertical="center" wrapText="1"/>
    </xf>
    <xf numFmtId="0" fontId="44" fillId="23" borderId="59" xfId="0" applyFont="1" applyFill="1" applyBorder="1" applyAlignment="1">
      <alignment horizontal="center" vertical="center" wrapText="1"/>
    </xf>
    <xf numFmtId="0" fontId="45" fillId="27" borderId="56" xfId="0" applyFont="1" applyFill="1" applyBorder="1" applyAlignment="1">
      <alignment vertical="center" wrapText="1"/>
    </xf>
    <xf numFmtId="0" fontId="42" fillId="27" borderId="56" xfId="0" applyFont="1" applyFill="1" applyBorder="1" applyAlignment="1">
      <alignment horizontal="center" vertical="center" wrapText="1"/>
    </xf>
    <xf numFmtId="1" fontId="40" fillId="27" borderId="19" xfId="0" applyNumberFormat="1" applyFont="1" applyFill="1" applyBorder="1" applyAlignment="1">
      <alignment horizontal="center" vertical="center" wrapText="1"/>
    </xf>
    <xf numFmtId="1" fontId="40" fillId="27" borderId="59" xfId="0" applyNumberFormat="1" applyFont="1" applyFill="1" applyBorder="1" applyAlignment="1">
      <alignment horizontal="center" vertical="center" wrapText="1"/>
    </xf>
    <xf numFmtId="1" fontId="46" fillId="24" borderId="56" xfId="0" quotePrefix="1" applyNumberFormat="1" applyFont="1" applyFill="1" applyBorder="1" applyAlignment="1">
      <alignment horizontal="left" vertical="center" wrapText="1"/>
    </xf>
    <xf numFmtId="1" fontId="46" fillId="24" borderId="56" xfId="0" applyNumberFormat="1" applyFont="1" applyFill="1" applyBorder="1" applyAlignment="1">
      <alignment horizontal="center" vertical="center" wrapText="1"/>
    </xf>
    <xf numFmtId="1" fontId="46" fillId="24" borderId="57" xfId="0" applyNumberFormat="1" applyFont="1" applyFill="1" applyBorder="1" applyAlignment="1">
      <alignment horizontal="center" vertical="center" wrapText="1"/>
    </xf>
    <xf numFmtId="1" fontId="41" fillId="23" borderId="56" xfId="0" applyNumberFormat="1" applyFont="1" applyFill="1" applyBorder="1" applyAlignment="1">
      <alignment horizontal="center" vertical="center" wrapText="1"/>
    </xf>
    <xf numFmtId="1" fontId="46" fillId="24" borderId="60" xfId="0" applyNumberFormat="1" applyFont="1" applyFill="1" applyBorder="1" applyAlignment="1">
      <alignment horizontal="center" vertical="center" wrapText="1"/>
    </xf>
    <xf numFmtId="1" fontId="41" fillId="23" borderId="5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46" fillId="24" borderId="61" xfId="0" applyNumberFormat="1" applyFont="1" applyFill="1" applyBorder="1" applyAlignment="1">
      <alignment horizontal="center" vertical="center" wrapText="1"/>
    </xf>
    <xf numFmtId="1" fontId="46" fillId="24" borderId="62" xfId="0" applyNumberFormat="1" applyFont="1" applyFill="1" applyBorder="1" applyAlignment="1">
      <alignment horizontal="center" vertical="center" wrapText="1"/>
    </xf>
    <xf numFmtId="1" fontId="46" fillId="24" borderId="58" xfId="0" applyNumberFormat="1" applyFont="1" applyFill="1" applyBorder="1" applyAlignment="1">
      <alignment horizontal="center" vertical="center" wrapText="1"/>
    </xf>
    <xf numFmtId="1" fontId="46" fillId="24" borderId="55" xfId="0" applyNumberFormat="1" applyFont="1" applyFill="1" applyBorder="1" applyAlignment="1">
      <alignment horizontal="center" vertical="center" wrapText="1"/>
    </xf>
    <xf numFmtId="0" fontId="49" fillId="23" borderId="62" xfId="0" applyFont="1" applyFill="1" applyBorder="1" applyAlignment="1">
      <alignment horizontal="center" vertical="center" wrapText="1"/>
    </xf>
    <xf numFmtId="0" fontId="49" fillId="23" borderId="0" xfId="0" applyFont="1" applyFill="1" applyAlignment="1">
      <alignment horizontal="center" vertical="center" wrapText="1"/>
    </xf>
    <xf numFmtId="0" fontId="49" fillId="0" borderId="63" xfId="0" applyFont="1" applyBorder="1" applyAlignment="1">
      <alignment horizontal="center" vertical="center" wrapText="1"/>
    </xf>
    <xf numFmtId="0" fontId="49" fillId="0" borderId="63" xfId="0" quotePrefix="1" applyFont="1" applyBorder="1" applyAlignment="1">
      <alignment horizontal="center" vertical="center" wrapText="1"/>
    </xf>
    <xf numFmtId="1" fontId="50" fillId="24" borderId="60" xfId="0" applyNumberFormat="1" applyFont="1" applyFill="1" applyBorder="1" applyAlignment="1">
      <alignment horizontal="center" vertical="center" wrapText="1"/>
    </xf>
    <xf numFmtId="1" fontId="50" fillId="24" borderId="63" xfId="0" applyNumberFormat="1" applyFont="1" applyFill="1" applyBorder="1" applyAlignment="1">
      <alignment horizontal="center" vertical="center" wrapText="1"/>
    </xf>
    <xf numFmtId="1" fontId="50" fillId="24" borderId="64" xfId="0" applyNumberFormat="1" applyFont="1" applyFill="1" applyBorder="1" applyAlignment="1">
      <alignment horizontal="center" vertical="center" wrapText="1"/>
    </xf>
    <xf numFmtId="9" fontId="46" fillId="26" borderId="59" xfId="0" applyNumberFormat="1" applyFont="1" applyFill="1" applyBorder="1" applyAlignment="1">
      <alignment horizontal="center" vertical="center" wrapText="1"/>
    </xf>
    <xf numFmtId="9" fontId="46" fillId="26" borderId="56" xfId="0" applyNumberFormat="1" applyFont="1" applyFill="1" applyBorder="1" applyAlignment="1">
      <alignment horizontal="center" vertical="center" wrapText="1"/>
    </xf>
    <xf numFmtId="1" fontId="46" fillId="26" borderId="60" xfId="0" applyNumberFormat="1" applyFont="1" applyFill="1" applyBorder="1" applyAlignment="1">
      <alignment horizontal="center" vertical="center" wrapText="1"/>
    </xf>
    <xf numFmtId="1" fontId="46" fillId="26" borderId="64" xfId="0" applyNumberFormat="1" applyFont="1" applyFill="1" applyBorder="1" applyAlignment="1">
      <alignment horizontal="center" vertical="center" wrapText="1"/>
    </xf>
    <xf numFmtId="1" fontId="46" fillId="26" borderId="5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53" fillId="26" borderId="55" xfId="0" applyNumberFormat="1" applyFont="1" applyFill="1" applyBorder="1" applyAlignment="1">
      <alignment horizontal="center" vertical="center"/>
    </xf>
    <xf numFmtId="9" fontId="53" fillId="26" borderId="54" xfId="0" applyNumberFormat="1" applyFont="1" applyFill="1" applyBorder="1" applyAlignment="1">
      <alignment horizontal="center" vertical="center"/>
    </xf>
    <xf numFmtId="9" fontId="53" fillId="26" borderId="65" xfId="0" applyNumberFormat="1" applyFont="1" applyFill="1" applyBorder="1" applyAlignment="1">
      <alignment horizontal="center" vertical="center"/>
    </xf>
    <xf numFmtId="1" fontId="46" fillId="26" borderId="55" xfId="0" applyNumberFormat="1" applyFont="1" applyFill="1" applyBorder="1" applyAlignment="1">
      <alignment horizontal="center" vertical="center" wrapText="1"/>
    </xf>
    <xf numFmtId="1" fontId="46" fillId="26" borderId="65" xfId="0" applyNumberFormat="1" applyFont="1" applyFill="1" applyBorder="1" applyAlignment="1">
      <alignment horizontal="center" vertical="center" wrapText="1"/>
    </xf>
  </cellXfs>
  <cellStyles count="42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8" xr:uid="{00000000-0005-0000-0000-00001B000000}"/>
    <cellStyle name="Good" xfId="29" xr:uid="{00000000-0005-0000-0000-00001C000000}"/>
    <cellStyle name="Heading 1" xfId="30" xr:uid="{00000000-0005-0000-0000-00001D000000}"/>
    <cellStyle name="Heading 2" xfId="31" xr:uid="{00000000-0005-0000-0000-00001E000000}"/>
    <cellStyle name="Heading 3" xfId="32" xr:uid="{00000000-0005-0000-0000-00001F000000}"/>
    <cellStyle name="Heading 4" xfId="33" xr:uid="{00000000-0005-0000-0000-000020000000}"/>
    <cellStyle name="Input" xfId="34" xr:uid="{00000000-0005-0000-0000-000021000000}"/>
    <cellStyle name="Linked Cell" xfId="35" xr:uid="{00000000-0005-0000-0000-000022000000}"/>
    <cellStyle name="Neutral" xfId="36" builtinId="28" customBuiltin="1"/>
    <cellStyle name="Normal" xfId="0" builtinId="0"/>
    <cellStyle name="Note" xfId="37" xr:uid="{00000000-0005-0000-0000-000025000000}"/>
    <cellStyle name="Output" xfId="38" xr:uid="{00000000-0005-0000-0000-000026000000}"/>
    <cellStyle name="Title" xfId="39" xr:uid="{00000000-0005-0000-0000-000028000000}"/>
    <cellStyle name="Total" xfId="40" builtinId="25" customBuiltin="1"/>
    <cellStyle name="Warning Text" xfId="41" xr:uid="{00000000-0005-0000-0000-00002A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16</xdr:row>
      <xdr:rowOff>133350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6256B16A-58B2-F60E-1A5B-EBEAF5CD07C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9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7ED5D9B-8434-406E-AACC-3E507185D3DF}"/>
            </a:ext>
          </a:extLst>
        </xdr:cNvPr>
        <xdr:cNvSpPr>
          <a:spLocks noChangeAspect="1" noChangeArrowheads="1"/>
        </xdr:cNvSpPr>
      </xdr:nvSpPr>
      <xdr:spPr bwMode="auto">
        <a:xfrm>
          <a:off x="0" y="115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09C5464-BA0B-41A3-8C35-6B42CD9E2C33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923925</xdr:colOff>
      <xdr:row>0</xdr:row>
      <xdr:rowOff>38100</xdr:rowOff>
    </xdr:from>
    <xdr:to>
      <xdr:col>10</xdr:col>
      <xdr:colOff>1104900</xdr:colOff>
      <xdr:row>0</xdr:row>
      <xdr:rowOff>457199</xdr:rowOff>
    </xdr:to>
    <xdr:sp macro="" textlink="">
      <xdr:nvSpPr>
        <xdr:cNvPr id="4" name="1 Rectángulo redondeado">
          <a:extLst>
            <a:ext uri="{FF2B5EF4-FFF2-40B4-BE49-F238E27FC236}">
              <a16:creationId xmlns:a16="http://schemas.microsoft.com/office/drawing/2014/main" id="{AAC10B1C-B43A-47F5-8784-B51F122183F5}"/>
            </a:ext>
          </a:extLst>
        </xdr:cNvPr>
        <xdr:cNvSpPr/>
      </xdr:nvSpPr>
      <xdr:spPr>
        <a:xfrm>
          <a:off x="10191750" y="38100"/>
          <a:ext cx="1295400" cy="419099"/>
        </a:xfrm>
        <a:prstGeom prst="roundRect">
          <a:avLst/>
        </a:prstGeom>
        <a:gradFill flip="none" rotWithShape="1">
          <a:gsLst>
            <a:gs pos="0">
              <a:srgbClr val="9900FF">
                <a:tint val="66000"/>
                <a:satMod val="160000"/>
              </a:srgbClr>
            </a:gs>
            <a:gs pos="50000">
              <a:srgbClr val="9900FF">
                <a:tint val="44500"/>
                <a:satMod val="160000"/>
              </a:srgbClr>
            </a:gs>
            <a:gs pos="100000">
              <a:srgbClr val="9900FF">
                <a:tint val="23500"/>
                <a:satMod val="160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>
              <a:solidFill>
                <a:schemeClr val="accent4">
                  <a:lumMod val="50000"/>
                </a:schemeClr>
              </a:solidFill>
              <a:latin typeface="Arial Narrow" pitchFamily="34" charset="0"/>
            </a:rPr>
            <a:t>LOGISTICA</a:t>
          </a:r>
        </a:p>
      </xdr:txBody>
    </xdr:sp>
    <xdr:clientData/>
  </xdr:twoCellAnchor>
  <xdr:twoCellAnchor editAs="oneCell">
    <xdr:from>
      <xdr:col>8</xdr:col>
      <xdr:colOff>838200</xdr:colOff>
      <xdr:row>0</xdr:row>
      <xdr:rowOff>9525</xdr:rowOff>
    </xdr:from>
    <xdr:to>
      <xdr:col>9</xdr:col>
      <xdr:colOff>1047750</xdr:colOff>
      <xdr:row>0</xdr:row>
      <xdr:rowOff>493906</xdr:rowOff>
    </xdr:to>
    <xdr:pic>
      <xdr:nvPicPr>
        <xdr:cNvPr id="5" name="2 Imagen" descr="https://ci3.googleusercontent.com/proxy/b_chO-zgkHLlYNklAFM_egH1QjAZIUwKJh9Xw5Ebv6mfQ4kujcGQPxBhz6BBSHHkGOEFDbjsWYx5GVvuTvVT1Vjo4ig=s0-d-e1-ft#http://sommiercenter.com/media/firmas/gral.jpg">
          <a:extLst>
            <a:ext uri="{FF2B5EF4-FFF2-40B4-BE49-F238E27FC236}">
              <a16:creationId xmlns:a16="http://schemas.microsoft.com/office/drawing/2014/main" id="{DCEFB65D-E9FA-4EBE-95A5-F95A3AF0F75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9525"/>
          <a:ext cx="1323975" cy="4843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5"/>
  <sheetViews>
    <sheetView tabSelected="1" workbookViewId="0">
      <selection activeCell="G6" sqref="G6"/>
    </sheetView>
  </sheetViews>
  <sheetFormatPr baseColWidth="10" defaultColWidth="10.85546875" defaultRowHeight="15" x14ac:dyDescent="0.3"/>
  <cols>
    <col min="1" max="1" width="26.5703125" style="1" customWidth="1"/>
    <col min="2" max="2" width="30" style="1" customWidth="1"/>
    <col min="3" max="3" width="4.42578125" style="1" customWidth="1"/>
    <col min="4" max="4" width="11.42578125" style="1" customWidth="1"/>
    <col min="5" max="5" width="11.5703125" style="1" customWidth="1"/>
    <col min="6" max="6" width="11.42578125" style="1" customWidth="1"/>
    <col min="7" max="7" width="12" style="1" customWidth="1"/>
    <col min="8" max="8" width="11.85546875" style="1" customWidth="1"/>
    <col min="9" max="9" width="12" style="1" customWidth="1"/>
    <col min="10" max="10" width="11" style="1" customWidth="1"/>
    <col min="11" max="12" width="10.85546875" style="1"/>
    <col min="13" max="13" width="13.7109375" style="1" bestFit="1" customWidth="1"/>
    <col min="14" max="16384" width="10.85546875" style="1"/>
  </cols>
  <sheetData>
    <row r="1" spans="1:13" ht="27.75" customHeight="1" thickBot="1" x14ac:dyDescent="0.5">
      <c r="A1" s="67" t="s">
        <v>205</v>
      </c>
      <c r="B1" s="68"/>
      <c r="C1" s="68"/>
      <c r="D1" s="68"/>
      <c r="E1" s="68"/>
      <c r="F1" s="68"/>
      <c r="G1" s="68"/>
      <c r="H1" s="68"/>
      <c r="I1" s="68"/>
      <c r="J1" s="69"/>
    </row>
    <row r="2" spans="1:13" ht="5.25" customHeight="1" thickBot="1" x14ac:dyDescent="0.35"/>
    <row r="3" spans="1:13" ht="86.25" customHeight="1" thickBot="1" x14ac:dyDescent="0.35">
      <c r="A3" s="70" t="s">
        <v>33</v>
      </c>
      <c r="B3" s="71"/>
      <c r="C3" s="16"/>
      <c r="D3" s="17" t="s">
        <v>41</v>
      </c>
      <c r="E3" s="18" t="s">
        <v>42</v>
      </c>
      <c r="F3" s="11" t="s">
        <v>43</v>
      </c>
      <c r="G3" s="18" t="s">
        <v>44</v>
      </c>
      <c r="H3" s="17" t="s">
        <v>45</v>
      </c>
      <c r="I3" s="18" t="s">
        <v>46</v>
      </c>
      <c r="J3" s="17" t="s">
        <v>47</v>
      </c>
    </row>
    <row r="4" spans="1:13" ht="20.100000000000001" customHeight="1" thickBot="1" x14ac:dyDescent="0.35">
      <c r="A4" s="74" t="s">
        <v>98</v>
      </c>
      <c r="B4" s="75"/>
      <c r="C4" s="21" t="s">
        <v>49</v>
      </c>
      <c r="D4" s="20">
        <f>F4*0.5</f>
        <v>16587.450529435446</v>
      </c>
      <c r="E4" s="19">
        <f>F4*0.8</f>
        <v>26539.920847096713</v>
      </c>
      <c r="F4" s="12">
        <v>33174.901058870892</v>
      </c>
      <c r="G4" s="19">
        <f>F4*0.8</f>
        <v>26539.920847096713</v>
      </c>
      <c r="H4" s="20">
        <f>F4*1.3</f>
        <v>43127.371376532159</v>
      </c>
      <c r="I4" s="19">
        <f>F4*1.8</f>
        <v>59714.821905967605</v>
      </c>
      <c r="J4" s="20">
        <f>F4*1.3</f>
        <v>43127.371376532159</v>
      </c>
      <c r="L4" s="25"/>
      <c r="M4" s="25"/>
    </row>
    <row r="5" spans="1:13" ht="19.5" thickBot="1" x14ac:dyDescent="0.35">
      <c r="A5" s="73" t="s">
        <v>0</v>
      </c>
      <c r="B5" s="2" t="s">
        <v>40</v>
      </c>
      <c r="C5" s="13" t="s">
        <v>50</v>
      </c>
      <c r="D5" s="3">
        <f t="shared" ref="D5:D52" si="0">F5*0.5</f>
        <v>42368.960839330299</v>
      </c>
      <c r="E5" s="4">
        <f t="shared" ref="E5:E52" si="1">F5*0.8</f>
        <v>67790.337342928484</v>
      </c>
      <c r="F5" s="12">
        <v>84737.921678660598</v>
      </c>
      <c r="G5" s="4">
        <f>F5*0.8</f>
        <v>67790.337342928484</v>
      </c>
      <c r="H5" s="3">
        <f>F5*1.3</f>
        <v>110159.29818225878</v>
      </c>
      <c r="I5" s="4">
        <f>F5*1.8</f>
        <v>152528.25902158907</v>
      </c>
      <c r="J5" s="3">
        <f>F5*1.3</f>
        <v>110159.29818225878</v>
      </c>
      <c r="L5" s="25"/>
      <c r="M5" s="25"/>
    </row>
    <row r="6" spans="1:13" ht="20.25" thickBot="1" x14ac:dyDescent="0.4">
      <c r="A6" s="73"/>
      <c r="B6" s="5" t="s">
        <v>34</v>
      </c>
      <c r="C6" s="14" t="s">
        <v>51</v>
      </c>
      <c r="D6" s="3">
        <f t="shared" si="0"/>
        <v>42368.960839330299</v>
      </c>
      <c r="E6" s="4">
        <f t="shared" si="1"/>
        <v>67790.337342928484</v>
      </c>
      <c r="F6" s="12">
        <v>84737.921678660598</v>
      </c>
      <c r="G6" s="4">
        <f t="shared" ref="G6:G52" si="2">F6*0.8</f>
        <v>67790.337342928484</v>
      </c>
      <c r="H6" s="3">
        <f t="shared" ref="H6:H52" si="3">F6*1.3</f>
        <v>110159.29818225878</v>
      </c>
      <c r="I6" s="4">
        <f t="shared" ref="I6:I52" si="4">F6*1.8</f>
        <v>152528.25902158907</v>
      </c>
      <c r="J6" s="3">
        <f t="shared" ref="J6:J52" si="5">F6*1.3</f>
        <v>110159.29818225878</v>
      </c>
      <c r="L6" s="25"/>
      <c r="M6" s="25"/>
    </row>
    <row r="7" spans="1:13" ht="20.25" thickBot="1" x14ac:dyDescent="0.4">
      <c r="A7" s="73"/>
      <c r="B7" s="5" t="s">
        <v>22</v>
      </c>
      <c r="C7" s="14" t="s">
        <v>52</v>
      </c>
      <c r="D7" s="3">
        <f t="shared" si="0"/>
        <v>42368.960839330299</v>
      </c>
      <c r="E7" s="4">
        <f t="shared" si="1"/>
        <v>67790.337342928484</v>
      </c>
      <c r="F7" s="12">
        <v>84737.921678660598</v>
      </c>
      <c r="G7" s="4">
        <f t="shared" si="2"/>
        <v>67790.337342928484</v>
      </c>
      <c r="H7" s="3">
        <f t="shared" si="3"/>
        <v>110159.29818225878</v>
      </c>
      <c r="I7" s="4">
        <f t="shared" si="4"/>
        <v>152528.25902158907</v>
      </c>
      <c r="J7" s="3">
        <f t="shared" si="5"/>
        <v>110159.29818225878</v>
      </c>
      <c r="L7" s="25"/>
      <c r="M7" s="25"/>
    </row>
    <row r="8" spans="1:13" ht="20.25" thickBot="1" x14ac:dyDescent="0.4">
      <c r="A8" s="72" t="s">
        <v>1</v>
      </c>
      <c r="B8" s="22" t="s">
        <v>21</v>
      </c>
      <c r="C8" s="23" t="s">
        <v>53</v>
      </c>
      <c r="D8" s="20">
        <f t="shared" si="0"/>
        <v>50622.65450932971</v>
      </c>
      <c r="E8" s="19">
        <f t="shared" si="1"/>
        <v>80996.247214927542</v>
      </c>
      <c r="F8" s="12">
        <v>101245.30901865942</v>
      </c>
      <c r="G8" s="19">
        <f t="shared" si="2"/>
        <v>80996.247214927542</v>
      </c>
      <c r="H8" s="20">
        <f t="shared" si="3"/>
        <v>131618.90172425724</v>
      </c>
      <c r="I8" s="19">
        <f t="shared" si="4"/>
        <v>182241.55623358695</v>
      </c>
      <c r="J8" s="20">
        <f t="shared" si="5"/>
        <v>131618.90172425724</v>
      </c>
      <c r="L8" s="25"/>
      <c r="M8" s="25"/>
    </row>
    <row r="9" spans="1:13" ht="20.25" thickBot="1" x14ac:dyDescent="0.4">
      <c r="A9" s="72"/>
      <c r="B9" s="22" t="s">
        <v>22</v>
      </c>
      <c r="C9" s="23" t="s">
        <v>54</v>
      </c>
      <c r="D9" s="20">
        <f t="shared" si="0"/>
        <v>66029.549359995261</v>
      </c>
      <c r="E9" s="19">
        <f t="shared" si="1"/>
        <v>105647.27897599242</v>
      </c>
      <c r="F9" s="12">
        <v>132059.09871999052</v>
      </c>
      <c r="G9" s="19">
        <f t="shared" si="2"/>
        <v>105647.27897599242</v>
      </c>
      <c r="H9" s="20">
        <f t="shared" si="3"/>
        <v>171676.8283359877</v>
      </c>
      <c r="I9" s="19">
        <f t="shared" si="4"/>
        <v>237706.37769598296</v>
      </c>
      <c r="J9" s="20">
        <f t="shared" si="5"/>
        <v>171676.8283359877</v>
      </c>
      <c r="L9" s="25"/>
      <c r="M9" s="25"/>
    </row>
    <row r="10" spans="1:13" ht="20.25" thickBot="1" x14ac:dyDescent="0.4">
      <c r="A10" s="73" t="s">
        <v>2</v>
      </c>
      <c r="B10" s="5" t="s">
        <v>23</v>
      </c>
      <c r="C10" s="14" t="s">
        <v>55</v>
      </c>
      <c r="D10" s="3">
        <f t="shared" si="0"/>
        <v>59426.594423995753</v>
      </c>
      <c r="E10" s="4">
        <f t="shared" si="1"/>
        <v>95082.551078393211</v>
      </c>
      <c r="F10" s="12">
        <v>118853.18884799151</v>
      </c>
      <c r="G10" s="4">
        <f t="shared" si="2"/>
        <v>95082.551078393211</v>
      </c>
      <c r="H10" s="3">
        <f t="shared" si="3"/>
        <v>154509.14550238897</v>
      </c>
      <c r="I10" s="4">
        <f t="shared" si="4"/>
        <v>213935.7399263847</v>
      </c>
      <c r="J10" s="3">
        <f t="shared" si="5"/>
        <v>154509.14550238897</v>
      </c>
      <c r="L10" s="25"/>
      <c r="M10" s="25"/>
    </row>
    <row r="11" spans="1:13" ht="20.25" thickBot="1" x14ac:dyDescent="0.4">
      <c r="A11" s="73"/>
      <c r="B11" s="5" t="s">
        <v>22</v>
      </c>
      <c r="C11" s="14" t="s">
        <v>56</v>
      </c>
      <c r="D11" s="3">
        <f t="shared" si="0"/>
        <v>72632.50429599479</v>
      </c>
      <c r="E11" s="4">
        <f t="shared" si="1"/>
        <v>116212.00687359167</v>
      </c>
      <c r="F11" s="12">
        <v>145265.00859198958</v>
      </c>
      <c r="G11" s="4">
        <f t="shared" si="2"/>
        <v>116212.00687359167</v>
      </c>
      <c r="H11" s="3">
        <f t="shared" si="3"/>
        <v>188844.51116958645</v>
      </c>
      <c r="I11" s="4">
        <f t="shared" si="4"/>
        <v>261477.01546558124</v>
      </c>
      <c r="J11" s="3">
        <f t="shared" si="5"/>
        <v>188844.51116958645</v>
      </c>
      <c r="L11" s="25"/>
      <c r="M11" s="25"/>
    </row>
    <row r="12" spans="1:13" ht="20.25" thickBot="1" x14ac:dyDescent="0.4">
      <c r="A12" s="72" t="s">
        <v>3</v>
      </c>
      <c r="B12" s="22" t="s">
        <v>35</v>
      </c>
      <c r="C12" s="23" t="s">
        <v>57</v>
      </c>
      <c r="D12" s="20">
        <f t="shared" si="0"/>
        <v>85068.069425460562</v>
      </c>
      <c r="E12" s="19">
        <f t="shared" si="1"/>
        <v>136108.9110807369</v>
      </c>
      <c r="F12" s="12">
        <v>170136.13885092112</v>
      </c>
      <c r="G12" s="19">
        <f t="shared" si="2"/>
        <v>136108.9110807369</v>
      </c>
      <c r="H12" s="20">
        <f t="shared" si="3"/>
        <v>221176.98050619746</v>
      </c>
      <c r="I12" s="19">
        <f t="shared" si="4"/>
        <v>306245.04993165802</v>
      </c>
      <c r="J12" s="20">
        <f t="shared" si="5"/>
        <v>221176.98050619746</v>
      </c>
      <c r="L12" s="25"/>
      <c r="M12" s="25"/>
    </row>
    <row r="13" spans="1:13" ht="20.25" thickBot="1" x14ac:dyDescent="0.4">
      <c r="A13" s="72"/>
      <c r="B13" s="22" t="s">
        <v>39</v>
      </c>
      <c r="C13" s="23" t="s">
        <v>58</v>
      </c>
      <c r="D13" s="20">
        <f t="shared" si="0"/>
        <v>85068.069425460562</v>
      </c>
      <c r="E13" s="19">
        <f t="shared" si="1"/>
        <v>136108.9110807369</v>
      </c>
      <c r="F13" s="12">
        <v>170136.13885092112</v>
      </c>
      <c r="G13" s="19">
        <f t="shared" si="2"/>
        <v>136108.9110807369</v>
      </c>
      <c r="H13" s="20">
        <f t="shared" si="3"/>
        <v>221176.98050619746</v>
      </c>
      <c r="I13" s="19">
        <f t="shared" si="4"/>
        <v>306245.04993165802</v>
      </c>
      <c r="J13" s="20">
        <f t="shared" si="5"/>
        <v>221176.98050619746</v>
      </c>
      <c r="L13" s="25"/>
      <c r="M13" s="25"/>
    </row>
    <row r="14" spans="1:13" ht="20.25" thickBot="1" x14ac:dyDescent="0.4">
      <c r="A14" s="72"/>
      <c r="B14" s="22" t="s">
        <v>36</v>
      </c>
      <c r="C14" s="23" t="s">
        <v>59</v>
      </c>
      <c r="D14" s="20">
        <f t="shared" si="0"/>
        <v>85068.069425460562</v>
      </c>
      <c r="E14" s="19">
        <f t="shared" si="1"/>
        <v>136108.9110807369</v>
      </c>
      <c r="F14" s="12">
        <v>170136.13885092112</v>
      </c>
      <c r="G14" s="19">
        <f t="shared" si="2"/>
        <v>136108.9110807369</v>
      </c>
      <c r="H14" s="20">
        <f t="shared" si="3"/>
        <v>221176.98050619746</v>
      </c>
      <c r="I14" s="19">
        <f t="shared" si="4"/>
        <v>306245.04993165802</v>
      </c>
      <c r="J14" s="20">
        <f t="shared" si="5"/>
        <v>221176.98050619746</v>
      </c>
      <c r="L14" s="25"/>
      <c r="M14" s="25"/>
    </row>
    <row r="15" spans="1:13" ht="20.25" thickBot="1" x14ac:dyDescent="0.4">
      <c r="A15" s="72"/>
      <c r="B15" s="22" t="s">
        <v>25</v>
      </c>
      <c r="C15" s="23" t="s">
        <v>60</v>
      </c>
      <c r="D15" s="20">
        <f t="shared" si="0"/>
        <v>85068.069425460562</v>
      </c>
      <c r="E15" s="19">
        <f t="shared" si="1"/>
        <v>136108.9110807369</v>
      </c>
      <c r="F15" s="12">
        <v>170136.13885092112</v>
      </c>
      <c r="G15" s="19">
        <f t="shared" si="2"/>
        <v>136108.9110807369</v>
      </c>
      <c r="H15" s="20">
        <f t="shared" si="3"/>
        <v>221176.98050619746</v>
      </c>
      <c r="I15" s="19">
        <f t="shared" si="4"/>
        <v>306245.04993165802</v>
      </c>
      <c r="J15" s="20">
        <f t="shared" si="5"/>
        <v>221176.98050619746</v>
      </c>
      <c r="L15" s="25"/>
      <c r="M15" s="25"/>
    </row>
    <row r="16" spans="1:13" ht="20.25" thickBot="1" x14ac:dyDescent="0.4">
      <c r="A16" s="73" t="s">
        <v>4</v>
      </c>
      <c r="B16" s="5" t="s">
        <v>48</v>
      </c>
      <c r="C16" s="14" t="s">
        <v>61</v>
      </c>
      <c r="D16" s="3">
        <f t="shared" si="0"/>
        <v>35215.759658664145</v>
      </c>
      <c r="E16" s="4">
        <f t="shared" si="1"/>
        <v>56345.215453862635</v>
      </c>
      <c r="F16" s="12">
        <v>70431.51931732829</v>
      </c>
      <c r="G16" s="4">
        <f t="shared" si="2"/>
        <v>56345.215453862635</v>
      </c>
      <c r="H16" s="3">
        <f t="shared" si="3"/>
        <v>91560.975112526779</v>
      </c>
      <c r="I16" s="4">
        <f t="shared" si="4"/>
        <v>126776.73477119092</v>
      </c>
      <c r="J16" s="3">
        <f t="shared" si="5"/>
        <v>91560.975112526779</v>
      </c>
      <c r="L16" s="25"/>
      <c r="M16" s="25"/>
    </row>
    <row r="17" spans="1:13" ht="20.25" thickBot="1" x14ac:dyDescent="0.4">
      <c r="A17" s="73"/>
      <c r="B17" s="5" t="s">
        <v>22</v>
      </c>
      <c r="C17" s="14" t="s">
        <v>62</v>
      </c>
      <c r="D17" s="3">
        <f t="shared" si="0"/>
        <v>50622.65450932971</v>
      </c>
      <c r="E17" s="4">
        <f t="shared" si="1"/>
        <v>80996.247214927542</v>
      </c>
      <c r="F17" s="12">
        <v>101245.30901865942</v>
      </c>
      <c r="G17" s="4">
        <f t="shared" si="2"/>
        <v>80996.247214927542</v>
      </c>
      <c r="H17" s="3">
        <f t="shared" si="3"/>
        <v>131618.90172425724</v>
      </c>
      <c r="I17" s="4">
        <f t="shared" si="4"/>
        <v>182241.55623358695</v>
      </c>
      <c r="J17" s="3">
        <f t="shared" si="5"/>
        <v>131618.90172425724</v>
      </c>
      <c r="L17" s="25"/>
      <c r="M17" s="25"/>
    </row>
    <row r="18" spans="1:13" ht="20.25" thickBot="1" x14ac:dyDescent="0.4">
      <c r="A18" s="72" t="s">
        <v>5</v>
      </c>
      <c r="B18" s="22" t="s">
        <v>21</v>
      </c>
      <c r="C18" s="23" t="s">
        <v>63</v>
      </c>
      <c r="D18" s="20">
        <f t="shared" si="0"/>
        <v>55024.624466662746</v>
      </c>
      <c r="E18" s="19">
        <f t="shared" si="1"/>
        <v>88039.399146660406</v>
      </c>
      <c r="F18" s="12">
        <v>110049.24893332549</v>
      </c>
      <c r="G18" s="19">
        <f t="shared" si="2"/>
        <v>88039.399146660406</v>
      </c>
      <c r="H18" s="20">
        <f t="shared" si="3"/>
        <v>143064.02361332314</v>
      </c>
      <c r="I18" s="19">
        <f t="shared" si="4"/>
        <v>198088.6480799859</v>
      </c>
      <c r="J18" s="20">
        <f t="shared" si="5"/>
        <v>143064.02361332314</v>
      </c>
      <c r="L18" s="25"/>
      <c r="M18" s="25"/>
    </row>
    <row r="19" spans="1:13" ht="20.25" thickBot="1" x14ac:dyDescent="0.4">
      <c r="A19" s="72"/>
      <c r="B19" s="22" t="s">
        <v>22</v>
      </c>
      <c r="C19" s="23" t="s">
        <v>64</v>
      </c>
      <c r="D19" s="20">
        <f t="shared" si="0"/>
        <v>68230.534338661761</v>
      </c>
      <c r="E19" s="19">
        <f t="shared" si="1"/>
        <v>109168.85494185882</v>
      </c>
      <c r="F19" s="12">
        <v>136461.06867732352</v>
      </c>
      <c r="G19" s="19">
        <f t="shared" si="2"/>
        <v>109168.85494185882</v>
      </c>
      <c r="H19" s="20">
        <f t="shared" si="3"/>
        <v>177399.38928052058</v>
      </c>
      <c r="I19" s="19">
        <f t="shared" si="4"/>
        <v>245629.92361918234</v>
      </c>
      <c r="J19" s="20">
        <f t="shared" si="5"/>
        <v>177399.38928052058</v>
      </c>
      <c r="L19" s="25"/>
      <c r="M19" s="25"/>
    </row>
    <row r="20" spans="1:13" ht="20.25" thickBot="1" x14ac:dyDescent="0.4">
      <c r="A20" s="73" t="s">
        <v>6</v>
      </c>
      <c r="B20" s="5" t="s">
        <v>24</v>
      </c>
      <c r="C20" s="14" t="s">
        <v>65</v>
      </c>
      <c r="D20" s="3">
        <f t="shared" si="0"/>
        <v>46220.684551996696</v>
      </c>
      <c r="E20" s="4">
        <f t="shared" si="1"/>
        <v>73953.095283194722</v>
      </c>
      <c r="F20" s="12">
        <v>92441.369103993391</v>
      </c>
      <c r="G20" s="4">
        <f t="shared" si="2"/>
        <v>73953.095283194722</v>
      </c>
      <c r="H20" s="3">
        <f t="shared" si="3"/>
        <v>120173.77983519141</v>
      </c>
      <c r="I20" s="4">
        <f t="shared" si="4"/>
        <v>166394.46438718811</v>
      </c>
      <c r="J20" s="3">
        <f t="shared" si="5"/>
        <v>120173.77983519141</v>
      </c>
      <c r="L20" s="25"/>
      <c r="M20" s="25"/>
    </row>
    <row r="21" spans="1:13" ht="20.25" thickBot="1" x14ac:dyDescent="0.4">
      <c r="A21" s="73"/>
      <c r="B21" s="5" t="s">
        <v>22</v>
      </c>
      <c r="C21" s="14" t="s">
        <v>66</v>
      </c>
      <c r="D21" s="3">
        <f t="shared" si="0"/>
        <v>51525.058350582956</v>
      </c>
      <c r="E21" s="4">
        <f t="shared" si="1"/>
        <v>82440.093360932733</v>
      </c>
      <c r="F21" s="12">
        <v>103050.11670116591</v>
      </c>
      <c r="G21" s="4">
        <f t="shared" si="2"/>
        <v>82440.093360932733</v>
      </c>
      <c r="H21" s="3">
        <f t="shared" si="3"/>
        <v>133965.1517115157</v>
      </c>
      <c r="I21" s="4">
        <f t="shared" si="4"/>
        <v>185490.21006209866</v>
      </c>
      <c r="J21" s="3">
        <f t="shared" si="5"/>
        <v>133965.1517115157</v>
      </c>
      <c r="L21" s="25"/>
      <c r="M21" s="25"/>
    </row>
    <row r="22" spans="1:13" ht="20.25" thickBot="1" x14ac:dyDescent="0.4">
      <c r="A22" s="72" t="s">
        <v>7</v>
      </c>
      <c r="B22" s="22" t="s">
        <v>21</v>
      </c>
      <c r="C22" s="23" t="s">
        <v>67</v>
      </c>
      <c r="D22" s="20">
        <f t="shared" si="0"/>
        <v>58326.101934662511</v>
      </c>
      <c r="E22" s="19">
        <f t="shared" si="1"/>
        <v>93321.763095460017</v>
      </c>
      <c r="F22" s="12">
        <v>116652.20386932502</v>
      </c>
      <c r="G22" s="19">
        <f t="shared" si="2"/>
        <v>93321.763095460017</v>
      </c>
      <c r="H22" s="20">
        <f t="shared" si="3"/>
        <v>151647.86503012254</v>
      </c>
      <c r="I22" s="19">
        <f t="shared" si="4"/>
        <v>209973.96696478504</v>
      </c>
      <c r="J22" s="20">
        <f t="shared" si="5"/>
        <v>151647.86503012254</v>
      </c>
      <c r="L22" s="25"/>
      <c r="M22" s="25"/>
    </row>
    <row r="23" spans="1:13" ht="20.25" thickBot="1" x14ac:dyDescent="0.4">
      <c r="A23" s="72"/>
      <c r="B23" s="22" t="s">
        <v>22</v>
      </c>
      <c r="C23" s="23" t="s">
        <v>68</v>
      </c>
      <c r="D23" s="20">
        <f t="shared" si="0"/>
        <v>71532.011806661583</v>
      </c>
      <c r="E23" s="19">
        <f t="shared" si="1"/>
        <v>114451.21889065854</v>
      </c>
      <c r="F23" s="12">
        <v>143064.02361332317</v>
      </c>
      <c r="G23" s="19">
        <f t="shared" si="2"/>
        <v>114451.21889065854</v>
      </c>
      <c r="H23" s="20">
        <f t="shared" si="3"/>
        <v>185983.23069732013</v>
      </c>
      <c r="I23" s="19">
        <f t="shared" si="4"/>
        <v>257515.24250398172</v>
      </c>
      <c r="J23" s="20">
        <f t="shared" si="5"/>
        <v>185983.23069732013</v>
      </c>
      <c r="L23" s="25"/>
      <c r="M23" s="25"/>
    </row>
    <row r="24" spans="1:13" ht="20.25" thickBot="1" x14ac:dyDescent="0.4">
      <c r="A24" s="73" t="s">
        <v>8</v>
      </c>
      <c r="B24" s="5" t="s">
        <v>26</v>
      </c>
      <c r="C24" s="14" t="s">
        <v>69</v>
      </c>
      <c r="D24" s="3">
        <f t="shared" si="0"/>
        <v>56125.11695599596</v>
      </c>
      <c r="E24" s="4">
        <f t="shared" si="1"/>
        <v>89800.187129593542</v>
      </c>
      <c r="F24" s="12">
        <v>112250.23391199192</v>
      </c>
      <c r="G24" s="4">
        <f t="shared" si="2"/>
        <v>89800.187129593542</v>
      </c>
      <c r="H24" s="3">
        <f t="shared" si="3"/>
        <v>145925.30408558951</v>
      </c>
      <c r="I24" s="4">
        <f t="shared" si="4"/>
        <v>202050.42104158545</v>
      </c>
      <c r="J24" s="3">
        <f t="shared" si="5"/>
        <v>145925.30408558951</v>
      </c>
      <c r="L24" s="25"/>
      <c r="M24" s="25"/>
    </row>
    <row r="25" spans="1:13" ht="20.25" thickBot="1" x14ac:dyDescent="0.4">
      <c r="A25" s="73"/>
      <c r="B25" s="5" t="s">
        <v>22</v>
      </c>
      <c r="C25" s="14" t="s">
        <v>70</v>
      </c>
      <c r="D25" s="3">
        <f t="shared" si="0"/>
        <v>72632.50429599479</v>
      </c>
      <c r="E25" s="4">
        <f t="shared" si="1"/>
        <v>116212.00687359167</v>
      </c>
      <c r="F25" s="12">
        <v>145265.00859198958</v>
      </c>
      <c r="G25" s="4">
        <f t="shared" si="2"/>
        <v>116212.00687359167</v>
      </c>
      <c r="H25" s="3">
        <f t="shared" si="3"/>
        <v>188844.51116958645</v>
      </c>
      <c r="I25" s="4">
        <f t="shared" si="4"/>
        <v>261477.01546558124</v>
      </c>
      <c r="J25" s="3">
        <f t="shared" si="5"/>
        <v>188844.51116958645</v>
      </c>
      <c r="L25" s="25"/>
      <c r="M25" s="25"/>
    </row>
    <row r="26" spans="1:13" ht="20.25" thickBot="1" x14ac:dyDescent="0.4">
      <c r="A26" s="72" t="s">
        <v>9</v>
      </c>
      <c r="B26" s="22" t="s">
        <v>27</v>
      </c>
      <c r="C26" s="23" t="s">
        <v>71</v>
      </c>
      <c r="D26" s="20">
        <f t="shared" si="0"/>
        <v>47321.177041329945</v>
      </c>
      <c r="E26" s="19">
        <f t="shared" si="1"/>
        <v>75713.883266127916</v>
      </c>
      <c r="F26" s="12">
        <v>94642.354082659891</v>
      </c>
      <c r="G26" s="19">
        <f t="shared" si="2"/>
        <v>75713.883266127916</v>
      </c>
      <c r="H26" s="20">
        <f t="shared" si="3"/>
        <v>123035.06030745787</v>
      </c>
      <c r="I26" s="19">
        <f t="shared" si="4"/>
        <v>170356.23734878781</v>
      </c>
      <c r="J26" s="20">
        <f t="shared" si="5"/>
        <v>123035.06030745787</v>
      </c>
      <c r="L26" s="25"/>
      <c r="M26" s="25"/>
    </row>
    <row r="27" spans="1:13" ht="20.25" thickBot="1" x14ac:dyDescent="0.4">
      <c r="A27" s="72"/>
      <c r="B27" s="22" t="s">
        <v>22</v>
      </c>
      <c r="C27" s="23" t="s">
        <v>72</v>
      </c>
      <c r="D27" s="20">
        <f t="shared" si="0"/>
        <v>57225.60944532921</v>
      </c>
      <c r="E27" s="19">
        <f t="shared" si="1"/>
        <v>91560.975112526736</v>
      </c>
      <c r="F27" s="12">
        <v>114451.21889065842</v>
      </c>
      <c r="G27" s="19">
        <f t="shared" si="2"/>
        <v>91560.975112526736</v>
      </c>
      <c r="H27" s="20">
        <f t="shared" si="3"/>
        <v>148786.58455785594</v>
      </c>
      <c r="I27" s="19">
        <f t="shared" si="4"/>
        <v>206012.19400318517</v>
      </c>
      <c r="J27" s="20">
        <f t="shared" si="5"/>
        <v>148786.58455785594</v>
      </c>
      <c r="L27" s="25"/>
      <c r="M27" s="25"/>
    </row>
    <row r="28" spans="1:13" ht="20.25" thickBot="1" x14ac:dyDescent="0.4">
      <c r="A28" s="73" t="s">
        <v>10</v>
      </c>
      <c r="B28" s="5" t="s">
        <v>21</v>
      </c>
      <c r="C28" s="14" t="s">
        <v>73</v>
      </c>
      <c r="D28" s="3">
        <f t="shared" si="0"/>
        <v>52823.639487996217</v>
      </c>
      <c r="E28" s="4">
        <f t="shared" si="1"/>
        <v>84517.823180793959</v>
      </c>
      <c r="F28" s="12">
        <v>105647.27897599243</v>
      </c>
      <c r="G28" s="4">
        <f t="shared" si="2"/>
        <v>84517.823180793959</v>
      </c>
      <c r="H28" s="3">
        <f t="shared" si="3"/>
        <v>137341.46266879016</v>
      </c>
      <c r="I28" s="4">
        <f t="shared" si="4"/>
        <v>190165.10215678639</v>
      </c>
      <c r="J28" s="3">
        <f t="shared" si="5"/>
        <v>137341.46266879016</v>
      </c>
      <c r="L28" s="25"/>
      <c r="M28" s="25"/>
    </row>
    <row r="29" spans="1:13" ht="20.25" thickBot="1" x14ac:dyDescent="0.4">
      <c r="A29" s="73"/>
      <c r="B29" s="5" t="s">
        <v>22</v>
      </c>
      <c r="C29" s="14" t="s">
        <v>74</v>
      </c>
      <c r="D29" s="3">
        <f t="shared" si="0"/>
        <v>71532.011806661583</v>
      </c>
      <c r="E29" s="4">
        <f t="shared" si="1"/>
        <v>114451.21889065854</v>
      </c>
      <c r="F29" s="12">
        <v>143064.02361332317</v>
      </c>
      <c r="G29" s="4">
        <f t="shared" si="2"/>
        <v>114451.21889065854</v>
      </c>
      <c r="H29" s="3">
        <f t="shared" si="3"/>
        <v>185983.23069732013</v>
      </c>
      <c r="I29" s="4">
        <f t="shared" si="4"/>
        <v>257515.24250398172</v>
      </c>
      <c r="J29" s="3">
        <f t="shared" si="5"/>
        <v>185983.23069732013</v>
      </c>
      <c r="L29" s="25"/>
      <c r="M29" s="25"/>
    </row>
    <row r="30" spans="1:13" ht="20.25" thickBot="1" x14ac:dyDescent="0.4">
      <c r="A30" s="72" t="s">
        <v>11</v>
      </c>
      <c r="B30" s="22" t="s">
        <v>21</v>
      </c>
      <c r="C30" s="23" t="s">
        <v>75</v>
      </c>
      <c r="D30" s="20">
        <f t="shared" si="0"/>
        <v>48421.669530663174</v>
      </c>
      <c r="E30" s="19">
        <f t="shared" si="1"/>
        <v>77474.671249061081</v>
      </c>
      <c r="F30" s="12">
        <v>96843.339061326347</v>
      </c>
      <c r="G30" s="19">
        <f t="shared" si="2"/>
        <v>77474.671249061081</v>
      </c>
      <c r="H30" s="20">
        <f t="shared" si="3"/>
        <v>125896.34077972425</v>
      </c>
      <c r="I30" s="19">
        <f t="shared" si="4"/>
        <v>174318.01031038744</v>
      </c>
      <c r="J30" s="20">
        <f t="shared" si="5"/>
        <v>125896.34077972425</v>
      </c>
      <c r="L30" s="25"/>
      <c r="M30" s="25"/>
    </row>
    <row r="31" spans="1:13" ht="20.25" thickBot="1" x14ac:dyDescent="0.4">
      <c r="A31" s="72"/>
      <c r="B31" s="22" t="s">
        <v>22</v>
      </c>
      <c r="C31" s="23" t="s">
        <v>76</v>
      </c>
      <c r="D31" s="20">
        <f t="shared" si="0"/>
        <v>63828.564381328739</v>
      </c>
      <c r="E31" s="19">
        <f t="shared" si="1"/>
        <v>102125.70301012599</v>
      </c>
      <c r="F31" s="12">
        <v>127657.12876265748</v>
      </c>
      <c r="G31" s="19">
        <f t="shared" si="2"/>
        <v>102125.70301012599</v>
      </c>
      <c r="H31" s="20">
        <f t="shared" si="3"/>
        <v>165954.26739145472</v>
      </c>
      <c r="I31" s="19">
        <f t="shared" si="4"/>
        <v>229782.83177278345</v>
      </c>
      <c r="J31" s="20">
        <f t="shared" si="5"/>
        <v>165954.26739145472</v>
      </c>
      <c r="L31" s="25"/>
      <c r="M31" s="25"/>
    </row>
    <row r="32" spans="1:13" ht="20.25" thickBot="1" x14ac:dyDescent="0.4">
      <c r="A32" s="73" t="s">
        <v>12</v>
      </c>
      <c r="B32" s="5" t="s">
        <v>28</v>
      </c>
      <c r="C32" s="14" t="s">
        <v>77</v>
      </c>
      <c r="D32" s="3">
        <f t="shared" si="0"/>
        <v>61627.579402662246</v>
      </c>
      <c r="E32" s="4">
        <f t="shared" si="1"/>
        <v>98604.1270442596</v>
      </c>
      <c r="F32" s="12">
        <v>123255.15880532449</v>
      </c>
      <c r="G32" s="4">
        <f t="shared" si="2"/>
        <v>98604.1270442596</v>
      </c>
      <c r="H32" s="3">
        <f t="shared" si="3"/>
        <v>160231.70644692183</v>
      </c>
      <c r="I32" s="4">
        <f t="shared" si="4"/>
        <v>221859.28584958409</v>
      </c>
      <c r="J32" s="3">
        <f t="shared" si="5"/>
        <v>160231.70644692183</v>
      </c>
      <c r="L32" s="25"/>
      <c r="M32" s="25"/>
    </row>
    <row r="33" spans="1:13" ht="20.25" thickBot="1" x14ac:dyDescent="0.4">
      <c r="A33" s="73"/>
      <c r="B33" s="5" t="s">
        <v>22</v>
      </c>
      <c r="C33" s="14" t="s">
        <v>78</v>
      </c>
      <c r="D33" s="3">
        <f t="shared" si="0"/>
        <v>72632.50429599479</v>
      </c>
      <c r="E33" s="4">
        <f t="shared" si="1"/>
        <v>116212.00687359167</v>
      </c>
      <c r="F33" s="12">
        <v>145265.00859198958</v>
      </c>
      <c r="G33" s="4">
        <f t="shared" si="2"/>
        <v>116212.00687359167</v>
      </c>
      <c r="H33" s="3">
        <f t="shared" si="3"/>
        <v>188844.51116958645</v>
      </c>
      <c r="I33" s="4">
        <f t="shared" si="4"/>
        <v>261477.01546558124</v>
      </c>
      <c r="J33" s="3">
        <f t="shared" si="5"/>
        <v>188844.51116958645</v>
      </c>
      <c r="L33" s="25"/>
      <c r="M33" s="25"/>
    </row>
    <row r="34" spans="1:13" ht="20.25" thickBot="1" x14ac:dyDescent="0.4">
      <c r="A34" s="72" t="s">
        <v>13</v>
      </c>
      <c r="B34" s="22" t="s">
        <v>21</v>
      </c>
      <c r="C34" s="23" t="s">
        <v>79</v>
      </c>
      <c r="D34" s="20">
        <f t="shared" si="0"/>
        <v>50622.65450932971</v>
      </c>
      <c r="E34" s="19">
        <f t="shared" si="1"/>
        <v>80996.247214927542</v>
      </c>
      <c r="F34" s="12">
        <v>101245.30901865942</v>
      </c>
      <c r="G34" s="19">
        <f t="shared" si="2"/>
        <v>80996.247214927542</v>
      </c>
      <c r="H34" s="20">
        <f t="shared" si="3"/>
        <v>131618.90172425724</v>
      </c>
      <c r="I34" s="19">
        <f t="shared" si="4"/>
        <v>182241.55623358695</v>
      </c>
      <c r="J34" s="20">
        <f t="shared" si="5"/>
        <v>131618.90172425724</v>
      </c>
      <c r="L34" s="25"/>
      <c r="M34" s="25"/>
    </row>
    <row r="35" spans="1:13" ht="20.25" thickBot="1" x14ac:dyDescent="0.4">
      <c r="A35" s="72"/>
      <c r="B35" s="22" t="s">
        <v>22</v>
      </c>
      <c r="C35" s="23" t="s">
        <v>80</v>
      </c>
      <c r="D35" s="20">
        <f t="shared" si="0"/>
        <v>65479.30311532865</v>
      </c>
      <c r="E35" s="19">
        <f t="shared" si="1"/>
        <v>104766.88498452585</v>
      </c>
      <c r="F35" s="12">
        <v>130958.6062306573</v>
      </c>
      <c r="G35" s="19">
        <f t="shared" si="2"/>
        <v>104766.88498452585</v>
      </c>
      <c r="H35" s="20">
        <f t="shared" si="3"/>
        <v>170246.18809985451</v>
      </c>
      <c r="I35" s="19">
        <f t="shared" si="4"/>
        <v>235725.49121518314</v>
      </c>
      <c r="J35" s="20">
        <f t="shared" si="5"/>
        <v>170246.18809985451</v>
      </c>
      <c r="L35" s="25"/>
      <c r="M35" s="25"/>
    </row>
    <row r="36" spans="1:13" ht="20.25" thickBot="1" x14ac:dyDescent="0.4">
      <c r="A36" s="73" t="s">
        <v>14</v>
      </c>
      <c r="B36" s="5" t="s">
        <v>37</v>
      </c>
      <c r="C36" s="14" t="s">
        <v>81</v>
      </c>
      <c r="D36" s="3">
        <f t="shared" si="0"/>
        <v>81436.444210660775</v>
      </c>
      <c r="E36" s="4">
        <f t="shared" si="1"/>
        <v>130298.31073705724</v>
      </c>
      <c r="F36" s="12">
        <v>162872.88842132155</v>
      </c>
      <c r="G36" s="4">
        <f t="shared" si="2"/>
        <v>130298.31073705724</v>
      </c>
      <c r="H36" s="3">
        <f t="shared" si="3"/>
        <v>211734.75494771803</v>
      </c>
      <c r="I36" s="4">
        <f t="shared" si="4"/>
        <v>293171.19915837882</v>
      </c>
      <c r="J36" s="3">
        <f t="shared" si="5"/>
        <v>211734.75494771803</v>
      </c>
      <c r="L36" s="25"/>
      <c r="M36" s="25"/>
    </row>
    <row r="37" spans="1:13" ht="20.25" thickBot="1" x14ac:dyDescent="0.4">
      <c r="A37" s="73"/>
      <c r="B37" s="5" t="s">
        <v>22</v>
      </c>
      <c r="C37" s="14" t="s">
        <v>82</v>
      </c>
      <c r="D37" s="3">
        <f t="shared" si="0"/>
        <v>85068.069425460562</v>
      </c>
      <c r="E37" s="4">
        <f t="shared" si="1"/>
        <v>136108.9110807369</v>
      </c>
      <c r="F37" s="12">
        <v>170136.13885092112</v>
      </c>
      <c r="G37" s="4">
        <f t="shared" si="2"/>
        <v>136108.9110807369</v>
      </c>
      <c r="H37" s="3">
        <f t="shared" si="3"/>
        <v>221176.98050619746</v>
      </c>
      <c r="I37" s="4">
        <f t="shared" si="4"/>
        <v>306245.04993165802</v>
      </c>
      <c r="J37" s="3">
        <f t="shared" si="5"/>
        <v>221176.98050619746</v>
      </c>
      <c r="L37" s="25"/>
      <c r="M37" s="25"/>
    </row>
    <row r="38" spans="1:13" ht="20.25" thickBot="1" x14ac:dyDescent="0.4">
      <c r="A38" s="72" t="s">
        <v>15</v>
      </c>
      <c r="B38" s="22" t="s">
        <v>21</v>
      </c>
      <c r="C38" s="23" t="s">
        <v>83</v>
      </c>
      <c r="D38" s="20">
        <f t="shared" si="0"/>
        <v>59426.594423995753</v>
      </c>
      <c r="E38" s="19">
        <f t="shared" si="1"/>
        <v>95082.551078393211</v>
      </c>
      <c r="F38" s="12">
        <v>118853.18884799151</v>
      </c>
      <c r="G38" s="19">
        <f t="shared" si="2"/>
        <v>95082.551078393211</v>
      </c>
      <c r="H38" s="20">
        <f t="shared" si="3"/>
        <v>154509.14550238897</v>
      </c>
      <c r="I38" s="19">
        <f t="shared" si="4"/>
        <v>213935.7399263847</v>
      </c>
      <c r="J38" s="20">
        <f t="shared" si="5"/>
        <v>154509.14550238897</v>
      </c>
      <c r="L38" s="25"/>
      <c r="M38" s="25"/>
    </row>
    <row r="39" spans="1:13" ht="20.25" thickBot="1" x14ac:dyDescent="0.4">
      <c r="A39" s="72"/>
      <c r="B39" s="22" t="s">
        <v>22</v>
      </c>
      <c r="C39" s="23" t="s">
        <v>84</v>
      </c>
      <c r="D39" s="20">
        <f t="shared" si="0"/>
        <v>70431.51931732829</v>
      </c>
      <c r="E39" s="19">
        <f t="shared" si="1"/>
        <v>112690.43090772527</v>
      </c>
      <c r="F39" s="12">
        <v>140863.03863465658</v>
      </c>
      <c r="G39" s="19">
        <f t="shared" si="2"/>
        <v>112690.43090772527</v>
      </c>
      <c r="H39" s="20">
        <f t="shared" si="3"/>
        <v>183121.95022505356</v>
      </c>
      <c r="I39" s="19">
        <f t="shared" si="4"/>
        <v>253553.46954238185</v>
      </c>
      <c r="J39" s="20">
        <f t="shared" si="5"/>
        <v>183121.95022505356</v>
      </c>
      <c r="L39" s="25"/>
      <c r="M39" s="25"/>
    </row>
    <row r="40" spans="1:13" ht="20.25" thickBot="1" x14ac:dyDescent="0.4">
      <c r="A40" s="73" t="s">
        <v>16</v>
      </c>
      <c r="B40" s="5" t="s">
        <v>21</v>
      </c>
      <c r="C40" s="14" t="s">
        <v>85</v>
      </c>
      <c r="D40" s="3">
        <f t="shared" si="0"/>
        <v>49302.063522129771</v>
      </c>
      <c r="E40" s="4">
        <f t="shared" si="1"/>
        <v>78883.301635407639</v>
      </c>
      <c r="F40" s="12">
        <v>98604.127044259541</v>
      </c>
      <c r="G40" s="4">
        <f t="shared" si="2"/>
        <v>78883.301635407639</v>
      </c>
      <c r="H40" s="3">
        <f t="shared" si="3"/>
        <v>128185.36515753741</v>
      </c>
      <c r="I40" s="4">
        <f t="shared" si="4"/>
        <v>177487.42867966718</v>
      </c>
      <c r="J40" s="3">
        <f t="shared" si="5"/>
        <v>128185.36515753741</v>
      </c>
      <c r="L40" s="25"/>
      <c r="M40" s="25"/>
    </row>
    <row r="41" spans="1:13" ht="20.25" thickBot="1" x14ac:dyDescent="0.4">
      <c r="A41" s="73"/>
      <c r="B41" s="5" t="s">
        <v>22</v>
      </c>
      <c r="C41" s="14" t="s">
        <v>86</v>
      </c>
      <c r="D41" s="3">
        <f t="shared" si="0"/>
        <v>72632.50429599479</v>
      </c>
      <c r="E41" s="4">
        <f t="shared" si="1"/>
        <v>116212.00687359167</v>
      </c>
      <c r="F41" s="12">
        <v>145265.00859198958</v>
      </c>
      <c r="G41" s="4">
        <f t="shared" si="2"/>
        <v>116212.00687359167</v>
      </c>
      <c r="H41" s="3">
        <f t="shared" si="3"/>
        <v>188844.51116958645</v>
      </c>
      <c r="I41" s="4">
        <f t="shared" si="4"/>
        <v>261477.01546558124</v>
      </c>
      <c r="J41" s="3">
        <f t="shared" si="5"/>
        <v>188844.51116958645</v>
      </c>
      <c r="L41" s="25"/>
      <c r="M41" s="25"/>
    </row>
    <row r="42" spans="1:13" ht="20.25" thickBot="1" x14ac:dyDescent="0.4">
      <c r="A42" s="72" t="s">
        <v>17</v>
      </c>
      <c r="B42" s="22" t="s">
        <v>21</v>
      </c>
      <c r="C42" s="23" t="s">
        <v>87</v>
      </c>
      <c r="D42" s="20">
        <f t="shared" si="0"/>
        <v>54144.230475196098</v>
      </c>
      <c r="E42" s="19">
        <f t="shared" si="1"/>
        <v>86630.76876031376</v>
      </c>
      <c r="F42" s="12">
        <v>108288.4609503922</v>
      </c>
      <c r="G42" s="19">
        <f t="shared" si="2"/>
        <v>86630.76876031376</v>
      </c>
      <c r="H42" s="20">
        <f t="shared" si="3"/>
        <v>140774.99923550987</v>
      </c>
      <c r="I42" s="19">
        <f t="shared" si="4"/>
        <v>194919.22971070596</v>
      </c>
      <c r="J42" s="20">
        <f t="shared" si="5"/>
        <v>140774.99923550987</v>
      </c>
      <c r="L42" s="25"/>
      <c r="M42" s="25"/>
    </row>
    <row r="43" spans="1:13" ht="20.25" thickBot="1" x14ac:dyDescent="0.4">
      <c r="A43" s="72"/>
      <c r="B43" s="22" t="s">
        <v>22</v>
      </c>
      <c r="C43" s="23" t="s">
        <v>88</v>
      </c>
      <c r="D43" s="20">
        <f t="shared" si="0"/>
        <v>65149.155368528678</v>
      </c>
      <c r="E43" s="19">
        <f t="shared" si="1"/>
        <v>104238.64858964589</v>
      </c>
      <c r="F43" s="12">
        <v>130298.31073705736</v>
      </c>
      <c r="G43" s="19">
        <f t="shared" si="2"/>
        <v>104238.64858964589</v>
      </c>
      <c r="H43" s="20">
        <f t="shared" si="3"/>
        <v>169387.80395817457</v>
      </c>
      <c r="I43" s="19">
        <f t="shared" si="4"/>
        <v>234536.95932670325</v>
      </c>
      <c r="J43" s="20">
        <f t="shared" si="5"/>
        <v>169387.80395817457</v>
      </c>
      <c r="L43" s="25"/>
      <c r="M43" s="25"/>
    </row>
    <row r="44" spans="1:13" ht="20.25" thickBot="1" x14ac:dyDescent="0.4">
      <c r="A44" s="73" t="s">
        <v>18</v>
      </c>
      <c r="B44" s="5" t="s">
        <v>29</v>
      </c>
      <c r="C44" s="14" t="s">
        <v>89</v>
      </c>
      <c r="D44" s="3">
        <f t="shared" si="0"/>
        <v>85068.069425460562</v>
      </c>
      <c r="E44" s="4">
        <f t="shared" si="1"/>
        <v>136108.9110807369</v>
      </c>
      <c r="F44" s="12">
        <v>170136.13885092112</v>
      </c>
      <c r="G44" s="4">
        <f t="shared" si="2"/>
        <v>136108.9110807369</v>
      </c>
      <c r="H44" s="3">
        <f t="shared" si="3"/>
        <v>221176.98050619746</v>
      </c>
      <c r="I44" s="4">
        <f t="shared" si="4"/>
        <v>306245.04993165802</v>
      </c>
      <c r="J44" s="3">
        <f t="shared" si="5"/>
        <v>221176.98050619746</v>
      </c>
      <c r="L44" s="25"/>
      <c r="M44" s="25"/>
    </row>
    <row r="45" spans="1:13" ht="20.25" thickBot="1" x14ac:dyDescent="0.4">
      <c r="A45" s="73"/>
      <c r="B45" s="5" t="s">
        <v>22</v>
      </c>
      <c r="C45" s="14" t="s">
        <v>90</v>
      </c>
      <c r="D45" s="3">
        <f t="shared" si="0"/>
        <v>85068.069425460562</v>
      </c>
      <c r="E45" s="4">
        <f t="shared" si="1"/>
        <v>136108.9110807369</v>
      </c>
      <c r="F45" s="12">
        <v>170136.13885092112</v>
      </c>
      <c r="G45" s="4">
        <f t="shared" si="2"/>
        <v>136108.9110807369</v>
      </c>
      <c r="H45" s="3">
        <f t="shared" si="3"/>
        <v>221176.98050619746</v>
      </c>
      <c r="I45" s="4">
        <f t="shared" si="4"/>
        <v>306245.04993165802</v>
      </c>
      <c r="J45" s="3">
        <f t="shared" si="5"/>
        <v>221176.98050619746</v>
      </c>
      <c r="L45" s="25"/>
      <c r="M45" s="25"/>
    </row>
    <row r="46" spans="1:13" ht="20.25" thickBot="1" x14ac:dyDescent="0.4">
      <c r="A46" s="72" t="s">
        <v>19</v>
      </c>
      <c r="B46" s="22" t="s">
        <v>30</v>
      </c>
      <c r="C46" s="23" t="s">
        <v>91</v>
      </c>
      <c r="D46" s="20">
        <f t="shared" si="0"/>
        <v>35215.759658664145</v>
      </c>
      <c r="E46" s="19">
        <f t="shared" si="1"/>
        <v>56345.215453862635</v>
      </c>
      <c r="F46" s="12">
        <v>70431.51931732829</v>
      </c>
      <c r="G46" s="19">
        <f t="shared" si="2"/>
        <v>56345.215453862635</v>
      </c>
      <c r="H46" s="20">
        <f t="shared" si="3"/>
        <v>91560.975112526779</v>
      </c>
      <c r="I46" s="19">
        <f t="shared" si="4"/>
        <v>126776.73477119092</v>
      </c>
      <c r="J46" s="20">
        <f t="shared" si="5"/>
        <v>91560.975112526779</v>
      </c>
      <c r="L46" s="25"/>
      <c r="M46" s="25"/>
    </row>
    <row r="47" spans="1:13" ht="20.25" thickBot="1" x14ac:dyDescent="0.4">
      <c r="A47" s="72"/>
      <c r="B47" s="22" t="s">
        <v>22</v>
      </c>
      <c r="C47" s="23" t="s">
        <v>92</v>
      </c>
      <c r="D47" s="20">
        <f t="shared" si="0"/>
        <v>51503.0485007963</v>
      </c>
      <c r="E47" s="19">
        <f t="shared" si="1"/>
        <v>82404.877601274085</v>
      </c>
      <c r="F47" s="12">
        <v>103006.0970015926</v>
      </c>
      <c r="G47" s="19">
        <f t="shared" si="2"/>
        <v>82404.877601274085</v>
      </c>
      <c r="H47" s="20">
        <f t="shared" si="3"/>
        <v>133907.92610207037</v>
      </c>
      <c r="I47" s="19">
        <f t="shared" si="4"/>
        <v>185410.97460286669</v>
      </c>
      <c r="J47" s="20">
        <f t="shared" si="5"/>
        <v>133907.92610207037</v>
      </c>
      <c r="L47" s="25"/>
      <c r="M47" s="25"/>
    </row>
    <row r="48" spans="1:13" ht="19.5" customHeight="1" thickBot="1" x14ac:dyDescent="0.4">
      <c r="A48" s="73" t="s">
        <v>38</v>
      </c>
      <c r="B48" s="5" t="s">
        <v>21</v>
      </c>
      <c r="C48" s="14" t="s">
        <v>93</v>
      </c>
      <c r="D48" s="3">
        <f t="shared" si="0"/>
        <v>55024.624466662746</v>
      </c>
      <c r="E48" s="4">
        <f t="shared" si="1"/>
        <v>88039.399146660406</v>
      </c>
      <c r="F48" s="12">
        <v>110049.24893332549</v>
      </c>
      <c r="G48" s="4">
        <f t="shared" si="2"/>
        <v>88039.399146660406</v>
      </c>
      <c r="H48" s="3">
        <f t="shared" si="3"/>
        <v>143064.02361332314</v>
      </c>
      <c r="I48" s="4">
        <f t="shared" si="4"/>
        <v>198088.6480799859</v>
      </c>
      <c r="J48" s="3">
        <f t="shared" si="5"/>
        <v>143064.02361332314</v>
      </c>
      <c r="L48" s="25"/>
      <c r="M48" s="25"/>
    </row>
    <row r="49" spans="1:13" ht="20.25" thickBot="1" x14ac:dyDescent="0.4">
      <c r="A49" s="73"/>
      <c r="B49" s="5" t="s">
        <v>22</v>
      </c>
      <c r="C49" s="14" t="s">
        <v>94</v>
      </c>
      <c r="D49" s="3">
        <f t="shared" si="0"/>
        <v>66029.549359995261</v>
      </c>
      <c r="E49" s="4">
        <f t="shared" si="1"/>
        <v>105647.27897599242</v>
      </c>
      <c r="F49" s="12">
        <v>132059.09871999052</v>
      </c>
      <c r="G49" s="4">
        <f t="shared" si="2"/>
        <v>105647.27897599242</v>
      </c>
      <c r="H49" s="3">
        <f t="shared" si="3"/>
        <v>171676.8283359877</v>
      </c>
      <c r="I49" s="4">
        <f t="shared" si="4"/>
        <v>237706.37769598296</v>
      </c>
      <c r="J49" s="3">
        <f t="shared" si="5"/>
        <v>171676.8283359877</v>
      </c>
      <c r="L49" s="25"/>
      <c r="M49" s="25"/>
    </row>
    <row r="50" spans="1:13" ht="20.25" thickBot="1" x14ac:dyDescent="0.4">
      <c r="A50" s="24" t="s">
        <v>31</v>
      </c>
      <c r="B50" s="22" t="s">
        <v>32</v>
      </c>
      <c r="C50" s="23" t="s">
        <v>95</v>
      </c>
      <c r="D50" s="20">
        <f t="shared" si="0"/>
        <v>121054.17382665802</v>
      </c>
      <c r="E50" s="19">
        <f t="shared" si="1"/>
        <v>193686.67812265284</v>
      </c>
      <c r="F50" s="12">
        <v>242108.34765331604</v>
      </c>
      <c r="G50" s="19">
        <f t="shared" si="2"/>
        <v>193686.67812265284</v>
      </c>
      <c r="H50" s="20">
        <f t="shared" si="3"/>
        <v>314740.85194931086</v>
      </c>
      <c r="I50" s="19">
        <f t="shared" si="4"/>
        <v>435795.02577596891</v>
      </c>
      <c r="J50" s="20">
        <f t="shared" si="5"/>
        <v>314740.85194931086</v>
      </c>
      <c r="L50" s="25"/>
      <c r="M50" s="25"/>
    </row>
    <row r="51" spans="1:13" ht="20.25" thickBot="1" x14ac:dyDescent="0.4">
      <c r="A51" s="73" t="s">
        <v>20</v>
      </c>
      <c r="B51" s="5" t="s">
        <v>21</v>
      </c>
      <c r="C51" s="14" t="s">
        <v>96</v>
      </c>
      <c r="D51" s="3">
        <f t="shared" si="0"/>
        <v>47321.177041329945</v>
      </c>
      <c r="E51" s="4">
        <f t="shared" si="1"/>
        <v>75713.883266127916</v>
      </c>
      <c r="F51" s="12">
        <v>94642.354082659891</v>
      </c>
      <c r="G51" s="4">
        <f t="shared" si="2"/>
        <v>75713.883266127916</v>
      </c>
      <c r="H51" s="3">
        <f t="shared" si="3"/>
        <v>123035.06030745787</v>
      </c>
      <c r="I51" s="4">
        <f t="shared" si="4"/>
        <v>170356.23734878781</v>
      </c>
      <c r="J51" s="3">
        <f t="shared" si="5"/>
        <v>123035.06030745787</v>
      </c>
      <c r="L51" s="25"/>
      <c r="M51" s="25"/>
    </row>
    <row r="52" spans="1:13" ht="20.25" thickBot="1" x14ac:dyDescent="0.4">
      <c r="A52" s="76"/>
      <c r="B52" s="6" t="s">
        <v>22</v>
      </c>
      <c r="C52" s="15" t="s">
        <v>97</v>
      </c>
      <c r="D52" s="7">
        <f t="shared" si="0"/>
        <v>63828.564381328739</v>
      </c>
      <c r="E52" s="8">
        <f t="shared" si="1"/>
        <v>102125.70301012599</v>
      </c>
      <c r="F52" s="12">
        <v>127657.12876265748</v>
      </c>
      <c r="G52" s="8">
        <f t="shared" si="2"/>
        <v>102125.70301012599</v>
      </c>
      <c r="H52" s="7">
        <f t="shared" si="3"/>
        <v>165954.26739145472</v>
      </c>
      <c r="I52" s="8">
        <f t="shared" si="4"/>
        <v>229782.83177278345</v>
      </c>
      <c r="J52" s="7">
        <f t="shared" si="5"/>
        <v>165954.26739145472</v>
      </c>
      <c r="L52" s="25"/>
      <c r="M52" s="25"/>
    </row>
    <row r="53" spans="1:13" ht="10.5" customHeight="1" x14ac:dyDescent="0.3">
      <c r="A53" s="10"/>
      <c r="B53" s="10"/>
      <c r="C53" s="10"/>
      <c r="D53" s="10"/>
      <c r="E53" s="9"/>
      <c r="F53" s="9"/>
      <c r="H53" s="26"/>
    </row>
    <row r="54" spans="1:13" x14ac:dyDescent="0.3">
      <c r="B54" s="25"/>
      <c r="D54" s="25"/>
    </row>
    <row r="55" spans="1:13" x14ac:dyDescent="0.3">
      <c r="B55" s="25"/>
    </row>
  </sheetData>
  <mergeCells count="25">
    <mergeCell ref="A42:A43"/>
    <mergeCell ref="A4:B4"/>
    <mergeCell ref="A46:A47"/>
    <mergeCell ref="A48:A49"/>
    <mergeCell ref="A51:A52"/>
    <mergeCell ref="A44:A45"/>
    <mergeCell ref="A40:A41"/>
    <mergeCell ref="A22:A23"/>
    <mergeCell ref="A24:A25"/>
    <mergeCell ref="A26:A27"/>
    <mergeCell ref="A28:A29"/>
    <mergeCell ref="A30:A31"/>
    <mergeCell ref="A32:A33"/>
    <mergeCell ref="A1:J1"/>
    <mergeCell ref="A3:B3"/>
    <mergeCell ref="A34:A35"/>
    <mergeCell ref="A36:A37"/>
    <mergeCell ref="A38:A39"/>
    <mergeCell ref="A8:A9"/>
    <mergeCell ref="A10:A11"/>
    <mergeCell ref="A12:A15"/>
    <mergeCell ref="A16:A17"/>
    <mergeCell ref="A18:A19"/>
    <mergeCell ref="A5:A7"/>
    <mergeCell ref="A20:A21"/>
  </mergeCells>
  <printOptions horizontalCentered="1" verticalCentered="1"/>
  <pageMargins left="0" right="0" top="0" bottom="0" header="0" footer="0"/>
  <pageSetup paperSize="9" scale="70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>
      <selection activeCell="K8" sqref="K8"/>
    </sheetView>
  </sheetViews>
  <sheetFormatPr baseColWidth="10" defaultRowHeight="12.75" x14ac:dyDescent="0.2"/>
  <cols>
    <col min="1" max="1" width="28.5703125" bestFit="1" customWidth="1"/>
    <col min="2" max="2" width="12" bestFit="1" customWidth="1"/>
    <col min="4" max="4" width="12" bestFit="1" customWidth="1"/>
    <col min="5" max="5" width="13" bestFit="1" customWidth="1"/>
    <col min="7" max="8" width="11.42578125" style="122"/>
  </cols>
  <sheetData>
    <row r="1" spans="1:9" ht="15.75" thickBot="1" x14ac:dyDescent="0.3">
      <c r="C1" s="27">
        <v>45677</v>
      </c>
      <c r="D1" s="27">
        <v>45748</v>
      </c>
      <c r="E1" s="27">
        <v>45894</v>
      </c>
      <c r="F1" s="28" t="s">
        <v>99</v>
      </c>
      <c r="G1" s="116" t="s">
        <v>100</v>
      </c>
      <c r="H1" s="117" t="s">
        <v>101</v>
      </c>
      <c r="I1" s="132">
        <v>46113</v>
      </c>
    </row>
    <row r="2" spans="1:9" ht="13.5" thickBot="1" x14ac:dyDescent="0.25">
      <c r="A2" s="29" t="s">
        <v>102</v>
      </c>
      <c r="B2" s="77">
        <v>30000</v>
      </c>
      <c r="C2" s="80">
        <f>+B2*1.07</f>
        <v>32100.000000000004</v>
      </c>
      <c r="D2" s="77">
        <v>33705</v>
      </c>
      <c r="E2" s="84">
        <f>D2*1.095</f>
        <v>36906.974999999999</v>
      </c>
      <c r="F2" s="84">
        <f>E2*1.08</f>
        <v>39859.533000000003</v>
      </c>
      <c r="G2" s="118">
        <v>41852</v>
      </c>
      <c r="H2" s="119">
        <f>41852*1.1</f>
        <v>46037.200000000004</v>
      </c>
      <c r="I2" s="126">
        <v>49719.96</v>
      </c>
    </row>
    <row r="3" spans="1:9" ht="13.5" thickBot="1" x14ac:dyDescent="0.25">
      <c r="A3" s="31" t="s">
        <v>103</v>
      </c>
      <c r="B3" s="78"/>
      <c r="C3" s="80"/>
      <c r="D3" s="78"/>
      <c r="E3" s="84"/>
      <c r="F3" s="85"/>
      <c r="G3" s="120"/>
      <c r="H3" s="120"/>
      <c r="I3" s="127"/>
    </row>
    <row r="4" spans="1:9" ht="13.5" thickBot="1" x14ac:dyDescent="0.25">
      <c r="A4" s="32" t="s">
        <v>104</v>
      </c>
      <c r="B4" s="79"/>
      <c r="C4" s="80"/>
      <c r="D4" s="79"/>
      <c r="E4" s="84"/>
      <c r="F4" s="85"/>
      <c r="G4" s="120"/>
      <c r="H4" s="120"/>
      <c r="I4" s="127"/>
    </row>
    <row r="5" spans="1:9" ht="13.5" thickBot="1" x14ac:dyDescent="0.25">
      <c r="A5" s="29" t="s">
        <v>105</v>
      </c>
      <c r="B5" s="77">
        <v>32000</v>
      </c>
      <c r="C5" s="80">
        <f>+B5*1.07</f>
        <v>34240</v>
      </c>
      <c r="D5" s="77">
        <v>35952</v>
      </c>
      <c r="E5" s="81">
        <f>D5*1.095</f>
        <v>39367.440000000002</v>
      </c>
      <c r="F5" s="84">
        <f>E5*1.08</f>
        <v>42516.835200000009</v>
      </c>
      <c r="G5" s="118">
        <v>44642</v>
      </c>
      <c r="H5" s="118">
        <f>44642*1.1</f>
        <v>49106.200000000004</v>
      </c>
      <c r="I5" s="127">
        <v>53034.48</v>
      </c>
    </row>
    <row r="6" spans="1:9" ht="13.5" thickBot="1" x14ac:dyDescent="0.25">
      <c r="A6" s="31" t="s">
        <v>106</v>
      </c>
      <c r="B6" s="78"/>
      <c r="C6" s="80"/>
      <c r="D6" s="78"/>
      <c r="E6" s="82"/>
      <c r="F6" s="85"/>
      <c r="G6" s="120"/>
      <c r="H6" s="120"/>
      <c r="I6" s="127"/>
    </row>
    <row r="7" spans="1:9" ht="13.5" thickBot="1" x14ac:dyDescent="0.25">
      <c r="A7" s="31" t="s">
        <v>107</v>
      </c>
      <c r="B7" s="78"/>
      <c r="C7" s="80"/>
      <c r="D7" s="78"/>
      <c r="E7" s="82"/>
      <c r="F7" s="85"/>
      <c r="G7" s="120"/>
      <c r="H7" s="120"/>
      <c r="I7" s="127"/>
    </row>
    <row r="8" spans="1:9" ht="13.5" thickBot="1" x14ac:dyDescent="0.25">
      <c r="A8" s="31" t="s">
        <v>108</v>
      </c>
      <c r="B8" s="78"/>
      <c r="C8" s="80"/>
      <c r="D8" s="78"/>
      <c r="E8" s="82"/>
      <c r="F8" s="85"/>
      <c r="G8" s="120"/>
      <c r="H8" s="120"/>
      <c r="I8" s="127"/>
    </row>
    <row r="9" spans="1:9" ht="13.5" thickBot="1" x14ac:dyDescent="0.25">
      <c r="A9" s="31" t="s">
        <v>109</v>
      </c>
      <c r="B9" s="78"/>
      <c r="C9" s="80"/>
      <c r="D9" s="78"/>
      <c r="E9" s="82"/>
      <c r="F9" s="85"/>
      <c r="G9" s="120"/>
      <c r="H9" s="120"/>
      <c r="I9" s="127"/>
    </row>
    <row r="10" spans="1:9" ht="13.5" thickBot="1" x14ac:dyDescent="0.25">
      <c r="A10" s="31" t="s">
        <v>110</v>
      </c>
      <c r="B10" s="78"/>
      <c r="C10" s="80"/>
      <c r="D10" s="78"/>
      <c r="E10" s="82"/>
      <c r="F10" s="85"/>
      <c r="G10" s="120"/>
      <c r="H10" s="120"/>
      <c r="I10" s="127"/>
    </row>
    <row r="11" spans="1:9" ht="13.5" thickBot="1" x14ac:dyDescent="0.25">
      <c r="A11" s="31" t="s">
        <v>111</v>
      </c>
      <c r="B11" s="78"/>
      <c r="C11" s="80"/>
      <c r="D11" s="78"/>
      <c r="E11" s="82"/>
      <c r="F11" s="85"/>
      <c r="G11" s="120"/>
      <c r="H11" s="120"/>
      <c r="I11" s="127"/>
    </row>
    <row r="12" spans="1:9" ht="13.5" thickBot="1" x14ac:dyDescent="0.25">
      <c r="A12" s="32" t="s">
        <v>112</v>
      </c>
      <c r="B12" s="79"/>
      <c r="C12" s="80"/>
      <c r="D12" s="78"/>
      <c r="E12" s="82"/>
      <c r="F12" s="85"/>
      <c r="G12" s="120"/>
      <c r="H12" s="120"/>
      <c r="I12" s="127"/>
    </row>
    <row r="13" spans="1:9" ht="13.5" thickBot="1" x14ac:dyDescent="0.25">
      <c r="A13" s="33" t="s">
        <v>113</v>
      </c>
      <c r="B13" s="86" t="s">
        <v>114</v>
      </c>
      <c r="C13" s="87"/>
      <c r="D13" s="78"/>
      <c r="E13" s="82"/>
      <c r="F13" s="85"/>
      <c r="G13" s="120"/>
      <c r="H13" s="120"/>
      <c r="I13" s="127"/>
    </row>
    <row r="14" spans="1:9" ht="13.5" thickBot="1" x14ac:dyDescent="0.25">
      <c r="A14" s="33" t="s">
        <v>115</v>
      </c>
      <c r="B14" s="88"/>
      <c r="C14" s="89"/>
      <c r="D14" s="79"/>
      <c r="E14" s="83"/>
      <c r="F14" s="85"/>
      <c r="G14" s="120"/>
      <c r="H14" s="120"/>
      <c r="I14" s="127"/>
    </row>
    <row r="15" spans="1:9" ht="13.5" thickBot="1" x14ac:dyDescent="0.25">
      <c r="A15" s="34" t="s">
        <v>116</v>
      </c>
      <c r="B15" s="77">
        <v>34000</v>
      </c>
      <c r="C15" s="80">
        <f>+B15*1.07</f>
        <v>36380</v>
      </c>
      <c r="D15" s="77">
        <v>38200</v>
      </c>
      <c r="E15" s="80">
        <f>D15*1.095</f>
        <v>41829</v>
      </c>
      <c r="F15" s="84">
        <f>E15*1.08</f>
        <v>45175.32</v>
      </c>
      <c r="G15" s="118">
        <v>47433</v>
      </c>
      <c r="H15" s="118">
        <f>47433*1.1</f>
        <v>52176.3</v>
      </c>
      <c r="I15" s="127">
        <v>56350.080000000002</v>
      </c>
    </row>
    <row r="16" spans="1:9" ht="13.5" thickBot="1" x14ac:dyDescent="0.25">
      <c r="A16" s="33" t="s">
        <v>117</v>
      </c>
      <c r="B16" s="78"/>
      <c r="C16" s="80"/>
      <c r="D16" s="78"/>
      <c r="E16" s="80"/>
      <c r="F16" s="84"/>
      <c r="G16" s="118"/>
      <c r="H16" s="118"/>
      <c r="I16" s="127"/>
    </row>
    <row r="17" spans="1:9" ht="13.5" thickBot="1" x14ac:dyDescent="0.25">
      <c r="A17" s="33" t="s">
        <v>118</v>
      </c>
      <c r="B17" s="78"/>
      <c r="C17" s="80"/>
      <c r="D17" s="78"/>
      <c r="E17" s="80"/>
      <c r="F17" s="84"/>
      <c r="G17" s="118"/>
      <c r="H17" s="118"/>
      <c r="I17" s="127"/>
    </row>
    <row r="18" spans="1:9" ht="13.5" thickBot="1" x14ac:dyDescent="0.25">
      <c r="A18" s="33" t="s">
        <v>119</v>
      </c>
      <c r="B18" s="78"/>
      <c r="C18" s="80"/>
      <c r="D18" s="78"/>
      <c r="E18" s="80"/>
      <c r="F18" s="84"/>
      <c r="G18" s="118"/>
      <c r="H18" s="118"/>
      <c r="I18" s="127"/>
    </row>
    <row r="19" spans="1:9" ht="13.5" thickBot="1" x14ac:dyDescent="0.25">
      <c r="A19" s="33" t="s">
        <v>120</v>
      </c>
      <c r="B19" s="78"/>
      <c r="C19" s="80"/>
      <c r="D19" s="78"/>
      <c r="E19" s="80"/>
      <c r="F19" s="84"/>
      <c r="G19" s="118"/>
      <c r="H19" s="118"/>
      <c r="I19" s="127"/>
    </row>
    <row r="20" spans="1:9" ht="13.5" thickBot="1" x14ac:dyDescent="0.25">
      <c r="A20" s="33" t="s">
        <v>121</v>
      </c>
      <c r="B20" s="78"/>
      <c r="C20" s="80"/>
      <c r="D20" s="78"/>
      <c r="E20" s="80"/>
      <c r="F20" s="84"/>
      <c r="G20" s="118"/>
      <c r="H20" s="118"/>
      <c r="I20" s="127"/>
    </row>
    <row r="21" spans="1:9" ht="13.5" thickBot="1" x14ac:dyDescent="0.25">
      <c r="A21" s="33" t="s">
        <v>122</v>
      </c>
      <c r="B21" s="78"/>
      <c r="C21" s="80"/>
      <c r="D21" s="78"/>
      <c r="E21" s="80"/>
      <c r="F21" s="84"/>
      <c r="G21" s="118"/>
      <c r="H21" s="118"/>
      <c r="I21" s="127"/>
    </row>
    <row r="22" spans="1:9" ht="13.5" thickBot="1" x14ac:dyDescent="0.25">
      <c r="A22" s="33" t="s">
        <v>123</v>
      </c>
      <c r="B22" s="78"/>
      <c r="C22" s="80"/>
      <c r="D22" s="78"/>
      <c r="E22" s="80"/>
      <c r="F22" s="84"/>
      <c r="G22" s="118"/>
      <c r="H22" s="118"/>
      <c r="I22" s="127"/>
    </row>
    <row r="23" spans="1:9" ht="13.5" thickBot="1" x14ac:dyDescent="0.25">
      <c r="A23" s="33" t="s">
        <v>124</v>
      </c>
      <c r="B23" s="78"/>
      <c r="C23" s="80"/>
      <c r="D23" s="78"/>
      <c r="E23" s="80"/>
      <c r="F23" s="84"/>
      <c r="G23" s="118"/>
      <c r="H23" s="118"/>
      <c r="I23" s="127"/>
    </row>
    <row r="24" spans="1:9" ht="13.5" thickBot="1" x14ac:dyDescent="0.25">
      <c r="A24" s="33" t="s">
        <v>19</v>
      </c>
      <c r="B24" s="78"/>
      <c r="C24" s="80"/>
      <c r="D24" s="78"/>
      <c r="E24" s="80"/>
      <c r="F24" s="84"/>
      <c r="G24" s="118"/>
      <c r="H24" s="118"/>
      <c r="I24" s="127"/>
    </row>
    <row r="25" spans="1:9" ht="13.5" thickBot="1" x14ac:dyDescent="0.25">
      <c r="A25" s="33" t="s">
        <v>125</v>
      </c>
      <c r="B25" s="78"/>
      <c r="C25" s="80"/>
      <c r="D25" s="78"/>
      <c r="E25" s="80"/>
      <c r="F25" s="84"/>
      <c r="G25" s="118"/>
      <c r="H25" s="118"/>
      <c r="I25" s="127"/>
    </row>
    <row r="26" spans="1:9" ht="13.5" thickBot="1" x14ac:dyDescent="0.25">
      <c r="A26" s="33" t="s">
        <v>126</v>
      </c>
      <c r="B26" s="78"/>
      <c r="C26" s="80"/>
      <c r="D26" s="78"/>
      <c r="E26" s="80"/>
      <c r="F26" s="84"/>
      <c r="G26" s="118"/>
      <c r="H26" s="118"/>
      <c r="I26" s="127"/>
    </row>
    <row r="27" spans="1:9" ht="13.5" thickBot="1" x14ac:dyDescent="0.25">
      <c r="A27" s="35" t="s">
        <v>127</v>
      </c>
      <c r="B27" s="79"/>
      <c r="C27" s="80"/>
      <c r="D27" s="79"/>
      <c r="E27" s="80"/>
      <c r="F27" s="84"/>
      <c r="G27" s="118"/>
      <c r="H27" s="118"/>
      <c r="I27" s="127"/>
    </row>
    <row r="28" spans="1:9" ht="13.5" thickBot="1" x14ac:dyDescent="0.25">
      <c r="A28" s="34" t="s">
        <v>128</v>
      </c>
      <c r="B28" s="77">
        <v>36000</v>
      </c>
      <c r="C28" s="90">
        <f>+B28*1.07</f>
        <v>38520</v>
      </c>
      <c r="D28" s="77">
        <v>40500</v>
      </c>
      <c r="E28" s="80">
        <f>D28*1.095</f>
        <v>44347.5</v>
      </c>
      <c r="F28" s="84">
        <f>E28*1.08</f>
        <v>47895.3</v>
      </c>
      <c r="G28" s="118">
        <v>50289</v>
      </c>
      <c r="H28" s="118">
        <v>55317</v>
      </c>
      <c r="I28" s="127">
        <v>59742.36</v>
      </c>
    </row>
    <row r="29" spans="1:9" ht="13.5" thickBot="1" x14ac:dyDescent="0.25">
      <c r="A29" s="33" t="s">
        <v>129</v>
      </c>
      <c r="B29" s="78"/>
      <c r="C29" s="91"/>
      <c r="D29" s="78"/>
      <c r="E29" s="80"/>
      <c r="F29" s="84"/>
      <c r="G29" s="118"/>
      <c r="H29" s="118"/>
      <c r="I29" s="127"/>
    </row>
    <row r="30" spans="1:9" ht="13.5" thickBot="1" x14ac:dyDescent="0.25">
      <c r="A30" s="33" t="s">
        <v>130</v>
      </c>
      <c r="B30" s="78"/>
      <c r="C30" s="91"/>
      <c r="D30" s="78"/>
      <c r="E30" s="80"/>
      <c r="F30" s="84"/>
      <c r="G30" s="118"/>
      <c r="H30" s="118"/>
      <c r="I30" s="127"/>
    </row>
    <row r="31" spans="1:9" ht="13.5" thickBot="1" x14ac:dyDescent="0.25">
      <c r="A31" s="35" t="s">
        <v>131</v>
      </c>
      <c r="B31" s="79"/>
      <c r="C31" s="92"/>
      <c r="D31" s="79"/>
      <c r="E31" s="80"/>
      <c r="F31" s="84"/>
      <c r="G31" s="118"/>
      <c r="H31" s="118"/>
      <c r="I31" s="127"/>
    </row>
    <row r="32" spans="1:9" ht="13.5" thickBot="1" x14ac:dyDescent="0.25">
      <c r="A32" s="34" t="s">
        <v>132</v>
      </c>
      <c r="B32" s="77">
        <v>34000</v>
      </c>
      <c r="C32" s="90">
        <f>+B32*1.07</f>
        <v>36380</v>
      </c>
      <c r="D32" s="77">
        <v>38200</v>
      </c>
      <c r="E32" s="80">
        <f>D32*1.095</f>
        <v>41829</v>
      </c>
      <c r="F32" s="84">
        <f>E32*1.08</f>
        <v>45175.32</v>
      </c>
      <c r="G32" s="118">
        <v>47433</v>
      </c>
      <c r="H32" s="118">
        <f>47433*1.1</f>
        <v>52176.3</v>
      </c>
      <c r="I32" s="127">
        <v>56350.080000000002</v>
      </c>
    </row>
    <row r="33" spans="1:10" ht="13.5" thickBot="1" x14ac:dyDescent="0.25">
      <c r="A33" s="33" t="s">
        <v>133</v>
      </c>
      <c r="B33" s="78"/>
      <c r="C33" s="91"/>
      <c r="D33" s="78"/>
      <c r="E33" s="80"/>
      <c r="F33" s="84"/>
      <c r="G33" s="118"/>
      <c r="H33" s="118"/>
      <c r="I33" s="127"/>
    </row>
    <row r="34" spans="1:10" ht="13.5" thickBot="1" x14ac:dyDescent="0.25">
      <c r="A34" s="33" t="s">
        <v>134</v>
      </c>
      <c r="B34" s="78"/>
      <c r="C34" s="91"/>
      <c r="D34" s="78"/>
      <c r="E34" s="80"/>
      <c r="F34" s="84"/>
      <c r="G34" s="118"/>
      <c r="H34" s="118"/>
      <c r="I34" s="127"/>
    </row>
    <row r="35" spans="1:10" ht="13.5" thickBot="1" x14ac:dyDescent="0.25">
      <c r="A35" s="33" t="s">
        <v>135</v>
      </c>
      <c r="B35" s="78"/>
      <c r="C35" s="91"/>
      <c r="D35" s="78"/>
      <c r="E35" s="80"/>
      <c r="F35" s="84"/>
      <c r="G35" s="118"/>
      <c r="H35" s="118"/>
      <c r="I35" s="127"/>
    </row>
    <row r="36" spans="1:10" ht="19.5" thickBot="1" x14ac:dyDescent="0.35">
      <c r="A36" s="33" t="s">
        <v>136</v>
      </c>
      <c r="B36" s="78"/>
      <c r="C36" s="91"/>
      <c r="D36" s="78"/>
      <c r="E36" s="80"/>
      <c r="F36" s="84"/>
      <c r="G36" s="118"/>
      <c r="H36" s="118"/>
      <c r="I36" s="127"/>
      <c r="J36" s="36" t="s">
        <v>137</v>
      </c>
    </row>
    <row r="37" spans="1:10" ht="13.5" thickBot="1" x14ac:dyDescent="0.25">
      <c r="A37" s="33" t="s">
        <v>138</v>
      </c>
      <c r="B37" s="78"/>
      <c r="C37" s="91"/>
      <c r="D37" s="78"/>
      <c r="E37" s="80"/>
      <c r="F37" s="84"/>
      <c r="G37" s="118"/>
      <c r="H37" s="118"/>
      <c r="I37" s="127"/>
    </row>
    <row r="38" spans="1:10" ht="13.5" thickBot="1" x14ac:dyDescent="0.25">
      <c r="A38" s="33" t="s">
        <v>139</v>
      </c>
      <c r="B38" s="78"/>
      <c r="C38" s="91"/>
      <c r="D38" s="78"/>
      <c r="E38" s="80"/>
      <c r="F38" s="84"/>
      <c r="G38" s="118"/>
      <c r="H38" s="118"/>
      <c r="I38" s="127"/>
    </row>
    <row r="39" spans="1:10" ht="13.5" thickBot="1" x14ac:dyDescent="0.25">
      <c r="A39" s="33" t="s">
        <v>140</v>
      </c>
      <c r="B39" s="78"/>
      <c r="C39" s="91"/>
      <c r="D39" s="78"/>
      <c r="E39" s="80"/>
      <c r="F39" s="84"/>
      <c r="G39" s="118"/>
      <c r="H39" s="118"/>
      <c r="I39" s="127"/>
    </row>
    <row r="40" spans="1:10" ht="13.5" thickBot="1" x14ac:dyDescent="0.25">
      <c r="A40" s="33" t="s">
        <v>141</v>
      </c>
      <c r="B40" s="78"/>
      <c r="C40" s="91"/>
      <c r="D40" s="78"/>
      <c r="E40" s="80"/>
      <c r="F40" s="84"/>
      <c r="G40" s="118"/>
      <c r="H40" s="118"/>
      <c r="I40" s="127"/>
    </row>
    <row r="41" spans="1:10" ht="13.5" thickBot="1" x14ac:dyDescent="0.25">
      <c r="A41" s="35" t="s">
        <v>142</v>
      </c>
      <c r="B41" s="79"/>
      <c r="C41" s="92"/>
      <c r="D41" s="78"/>
      <c r="E41" s="80"/>
      <c r="F41" s="84"/>
      <c r="G41" s="118"/>
      <c r="H41" s="118"/>
      <c r="I41" s="127"/>
    </row>
    <row r="42" spans="1:10" ht="19.5" thickBot="1" x14ac:dyDescent="0.35">
      <c r="A42" s="93" t="s">
        <v>143</v>
      </c>
      <c r="B42" s="94"/>
      <c r="C42" s="95"/>
      <c r="D42" s="37">
        <v>42000</v>
      </c>
      <c r="E42" s="37">
        <f>D42*1.095</f>
        <v>45990</v>
      </c>
      <c r="F42" s="30">
        <f>E42*1.08</f>
        <v>49669.200000000004</v>
      </c>
      <c r="G42" s="121">
        <f>49669*1.05</f>
        <v>52152.450000000004</v>
      </c>
      <c r="H42" s="121">
        <f>52152*1.1</f>
        <v>57367.200000000004</v>
      </c>
      <c r="I42" s="128">
        <v>61956.36</v>
      </c>
      <c r="J42" s="38" t="s">
        <v>144</v>
      </c>
    </row>
    <row r="44" spans="1:10" ht="13.5" thickBot="1" x14ac:dyDescent="0.25"/>
    <row r="45" spans="1:10" ht="13.5" thickBot="1" x14ac:dyDescent="0.25">
      <c r="A45" s="96" t="s">
        <v>145</v>
      </c>
      <c r="B45" s="97"/>
      <c r="C45" s="97"/>
      <c r="D45" s="97"/>
      <c r="E45" s="98"/>
    </row>
    <row r="46" spans="1:10" ht="13.5" thickBot="1" x14ac:dyDescent="0.25"/>
    <row r="47" spans="1:10" ht="13.5" thickBot="1" x14ac:dyDescent="0.25">
      <c r="A47" s="39" t="s">
        <v>146</v>
      </c>
      <c r="B47" s="39" t="s">
        <v>147</v>
      </c>
      <c r="C47" s="39" t="s">
        <v>148</v>
      </c>
      <c r="D47" s="39" t="s">
        <v>149</v>
      </c>
      <c r="E47" s="39" t="s">
        <v>150</v>
      </c>
    </row>
    <row r="48" spans="1:10" ht="13.5" thickBot="1" x14ac:dyDescent="0.25"/>
    <row r="49" spans="1:9" x14ac:dyDescent="0.2">
      <c r="A49" s="40" t="s">
        <v>151</v>
      </c>
      <c r="B49" s="41" t="s">
        <v>152</v>
      </c>
      <c r="C49" s="40" t="s">
        <v>115</v>
      </c>
      <c r="D49" s="40" t="s">
        <v>151</v>
      </c>
      <c r="E49" s="40" t="s">
        <v>153</v>
      </c>
      <c r="F49" s="81">
        <f>A61*1.08</f>
        <v>45175.32</v>
      </c>
      <c r="G49" s="123">
        <v>47433</v>
      </c>
      <c r="H49" s="123">
        <f>47433*1.1</f>
        <v>52176.3</v>
      </c>
      <c r="I49" s="129">
        <v>56350.080000000002</v>
      </c>
    </row>
    <row r="50" spans="1:9" x14ac:dyDescent="0.2">
      <c r="A50" s="42" t="s">
        <v>154</v>
      </c>
      <c r="B50" s="43" t="s">
        <v>155</v>
      </c>
      <c r="C50" s="42" t="s">
        <v>156</v>
      </c>
      <c r="D50" s="42" t="s">
        <v>154</v>
      </c>
      <c r="E50" s="42" t="s">
        <v>140</v>
      </c>
      <c r="F50" s="82"/>
      <c r="G50" s="124"/>
      <c r="H50" s="124"/>
      <c r="I50" s="130"/>
    </row>
    <row r="51" spans="1:9" x14ac:dyDescent="0.2">
      <c r="A51" s="42" t="s">
        <v>157</v>
      </c>
      <c r="B51" s="43" t="s">
        <v>158</v>
      </c>
      <c r="C51" s="42" t="s">
        <v>159</v>
      </c>
      <c r="D51" s="42" t="s">
        <v>157</v>
      </c>
      <c r="E51" s="42" t="s">
        <v>141</v>
      </c>
      <c r="F51" s="82"/>
      <c r="G51" s="124"/>
      <c r="H51" s="124"/>
      <c r="I51" s="130"/>
    </row>
    <row r="52" spans="1:9" x14ac:dyDescent="0.2">
      <c r="A52" s="42" t="s">
        <v>160</v>
      </c>
      <c r="B52" s="43" t="s">
        <v>161</v>
      </c>
      <c r="C52" s="42" t="s">
        <v>162</v>
      </c>
      <c r="D52" s="42" t="s">
        <v>160</v>
      </c>
      <c r="E52" s="42" t="s">
        <v>163</v>
      </c>
      <c r="F52" s="82"/>
      <c r="G52" s="124"/>
      <c r="H52" s="124"/>
      <c r="I52" s="130"/>
    </row>
    <row r="53" spans="1:9" x14ac:dyDescent="0.2">
      <c r="A53" s="42" t="s">
        <v>164</v>
      </c>
      <c r="B53" s="43" t="s">
        <v>139</v>
      </c>
      <c r="C53" s="42" t="s">
        <v>142</v>
      </c>
      <c r="D53" s="42" t="s">
        <v>164</v>
      </c>
      <c r="E53" s="42" t="s">
        <v>165</v>
      </c>
      <c r="F53" s="82"/>
      <c r="G53" s="124"/>
      <c r="H53" s="124"/>
      <c r="I53" s="130">
        <v>41829</v>
      </c>
    </row>
    <row r="54" spans="1:9" x14ac:dyDescent="0.2">
      <c r="A54" s="42"/>
      <c r="B54" s="43" t="s">
        <v>138</v>
      </c>
      <c r="C54" s="42" t="s">
        <v>166</v>
      </c>
      <c r="D54" s="42"/>
      <c r="E54" s="42"/>
      <c r="F54" s="82"/>
      <c r="G54" s="124"/>
      <c r="H54" s="124"/>
      <c r="I54" s="130"/>
    </row>
    <row r="55" spans="1:9" x14ac:dyDescent="0.2">
      <c r="A55" s="42"/>
      <c r="B55" s="43" t="s">
        <v>136</v>
      </c>
      <c r="C55" s="42" t="s">
        <v>167</v>
      </c>
      <c r="D55" s="42"/>
      <c r="E55" s="42"/>
      <c r="F55" s="82"/>
      <c r="G55" s="124"/>
      <c r="H55" s="124"/>
      <c r="I55" s="130"/>
    </row>
    <row r="56" spans="1:9" x14ac:dyDescent="0.2">
      <c r="A56" s="42"/>
      <c r="B56" s="43" t="s">
        <v>135</v>
      </c>
      <c r="C56" s="42" t="s">
        <v>168</v>
      </c>
      <c r="D56" s="42"/>
      <c r="E56" s="42"/>
      <c r="F56" s="82"/>
      <c r="G56" s="124"/>
      <c r="H56" s="124"/>
      <c r="I56" s="130"/>
    </row>
    <row r="57" spans="1:9" x14ac:dyDescent="0.2">
      <c r="A57" s="42"/>
      <c r="B57" s="43" t="s">
        <v>169</v>
      </c>
      <c r="C57" s="42" t="s">
        <v>170</v>
      </c>
      <c r="D57" s="42"/>
      <c r="E57" s="42"/>
      <c r="F57" s="82"/>
      <c r="G57" s="124"/>
      <c r="H57" s="124"/>
      <c r="I57" s="130"/>
    </row>
    <row r="58" spans="1:9" x14ac:dyDescent="0.2">
      <c r="A58" s="42"/>
      <c r="B58" s="43" t="s">
        <v>133</v>
      </c>
      <c r="C58" s="42" t="s">
        <v>171</v>
      </c>
      <c r="D58" s="42"/>
      <c r="E58" s="42"/>
      <c r="F58" s="82"/>
      <c r="G58" s="124"/>
      <c r="H58" s="124"/>
      <c r="I58" s="130"/>
    </row>
    <row r="59" spans="1:9" x14ac:dyDescent="0.2">
      <c r="A59" s="42"/>
      <c r="B59" s="43" t="s">
        <v>172</v>
      </c>
      <c r="C59" s="42"/>
      <c r="D59" s="42"/>
      <c r="E59" s="42"/>
      <c r="F59" s="82"/>
      <c r="G59" s="124"/>
      <c r="H59" s="124"/>
      <c r="I59" s="130"/>
    </row>
    <row r="60" spans="1:9" ht="13.5" thickBot="1" x14ac:dyDescent="0.25">
      <c r="A60" s="44"/>
      <c r="B60" s="45" t="s">
        <v>173</v>
      </c>
      <c r="C60" s="44"/>
      <c r="D60" s="44"/>
      <c r="E60" s="44"/>
      <c r="F60" s="83"/>
      <c r="G60" s="125"/>
      <c r="H60" s="125"/>
      <c r="I60" s="131"/>
    </row>
    <row r="61" spans="1:9" ht="21.75" customHeight="1" thickBot="1" x14ac:dyDescent="0.25">
      <c r="A61" s="99">
        <v>41829</v>
      </c>
      <c r="B61" s="100"/>
      <c r="C61" s="100"/>
      <c r="D61" s="100"/>
      <c r="E61" s="101"/>
    </row>
  </sheetData>
  <mergeCells count="48">
    <mergeCell ref="F49:F60"/>
    <mergeCell ref="G49:G60"/>
    <mergeCell ref="H49:H60"/>
    <mergeCell ref="I49:I60"/>
    <mergeCell ref="A61:E61"/>
    <mergeCell ref="A45:E45"/>
    <mergeCell ref="B32:B41"/>
    <mergeCell ref="C32:C41"/>
    <mergeCell ref="D32:D41"/>
    <mergeCell ref="E32:E41"/>
    <mergeCell ref="F15:F27"/>
    <mergeCell ref="G32:G41"/>
    <mergeCell ref="H32:H41"/>
    <mergeCell ref="I32:I41"/>
    <mergeCell ref="A42:C42"/>
    <mergeCell ref="F32:F41"/>
    <mergeCell ref="G2:G4"/>
    <mergeCell ref="G15:G27"/>
    <mergeCell ref="H15:H27"/>
    <mergeCell ref="I15:I27"/>
    <mergeCell ref="B28:B31"/>
    <mergeCell ref="C28:C31"/>
    <mergeCell ref="D28:D31"/>
    <mergeCell ref="E28:E31"/>
    <mergeCell ref="F28:F31"/>
    <mergeCell ref="G28:G31"/>
    <mergeCell ref="H28:H31"/>
    <mergeCell ref="I28:I31"/>
    <mergeCell ref="B15:B27"/>
    <mergeCell ref="C15:C27"/>
    <mergeCell ref="D15:D27"/>
    <mergeCell ref="E15:E27"/>
    <mergeCell ref="B2:B4"/>
    <mergeCell ref="H2:H4"/>
    <mergeCell ref="I2:I4"/>
    <mergeCell ref="B5:B12"/>
    <mergeCell ref="C5:C12"/>
    <mergeCell ref="D5:D14"/>
    <mergeCell ref="E5:E14"/>
    <mergeCell ref="F5:F14"/>
    <mergeCell ref="G5:G14"/>
    <mergeCell ref="H5:H14"/>
    <mergeCell ref="I5:I14"/>
    <mergeCell ref="B13:C1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8647-AA43-40BE-9203-DEA1E06D336D}">
  <sheetPr>
    <pageSetUpPr fitToPage="1"/>
  </sheetPr>
  <dimension ref="A1:K24"/>
  <sheetViews>
    <sheetView topLeftCell="A16" workbookViewId="0">
      <selection activeCell="M18" sqref="M18"/>
    </sheetView>
  </sheetViews>
  <sheetFormatPr baseColWidth="10" defaultRowHeight="12.75" x14ac:dyDescent="0.2"/>
  <cols>
    <col min="1" max="1" width="12.140625" bestFit="1" customWidth="1"/>
    <col min="2" max="2" width="21.5703125" customWidth="1"/>
    <col min="3" max="3" width="4.140625" bestFit="1" customWidth="1"/>
    <col min="11" max="11" width="8.7109375" customWidth="1"/>
  </cols>
  <sheetData>
    <row r="1" spans="1:11" ht="90.75" hidden="1" thickBot="1" x14ac:dyDescent="0.25">
      <c r="A1" s="109" t="s">
        <v>33</v>
      </c>
      <c r="B1" s="110"/>
      <c r="C1" s="16"/>
      <c r="D1" s="17" t="s">
        <v>41</v>
      </c>
      <c r="E1" s="18" t="s">
        <v>42</v>
      </c>
      <c r="F1" s="11" t="s">
        <v>43</v>
      </c>
      <c r="G1" s="18" t="s">
        <v>44</v>
      </c>
      <c r="H1" s="17" t="s">
        <v>45</v>
      </c>
      <c r="I1" s="18" t="s">
        <v>46</v>
      </c>
      <c r="J1" s="17" t="s">
        <v>47</v>
      </c>
      <c r="K1" s="115" t="s">
        <v>174</v>
      </c>
    </row>
    <row r="2" spans="1:11" ht="20.25" hidden="1" thickBot="1" x14ac:dyDescent="0.4">
      <c r="A2" s="107" t="s">
        <v>8</v>
      </c>
      <c r="B2" s="5" t="s">
        <v>26</v>
      </c>
      <c r="C2" s="14" t="s">
        <v>69</v>
      </c>
      <c r="D2" s="3">
        <v>31860</v>
      </c>
      <c r="E2" s="4">
        <v>44630</v>
      </c>
      <c r="F2" s="12">
        <v>63710</v>
      </c>
      <c r="G2" s="4">
        <v>44630</v>
      </c>
      <c r="H2" s="3">
        <v>81760</v>
      </c>
      <c r="I2" s="4">
        <v>125800</v>
      </c>
      <c r="J2" s="3">
        <v>81760</v>
      </c>
      <c r="K2" s="115"/>
    </row>
    <row r="3" spans="1:11" ht="20.25" hidden="1" thickBot="1" x14ac:dyDescent="0.4">
      <c r="A3" s="108"/>
      <c r="B3" s="5" t="s">
        <v>22</v>
      </c>
      <c r="C3" s="14" t="s">
        <v>70</v>
      </c>
      <c r="D3" s="3">
        <v>41660</v>
      </c>
      <c r="E3" s="4">
        <v>66650</v>
      </c>
      <c r="F3" s="12">
        <v>83310</v>
      </c>
      <c r="G3" s="4">
        <v>66650</v>
      </c>
      <c r="H3" s="3">
        <v>115430</v>
      </c>
      <c r="I3" s="4">
        <v>172460</v>
      </c>
      <c r="J3" s="3">
        <v>115430</v>
      </c>
      <c r="K3" s="115"/>
    </row>
    <row r="4" spans="1:11" ht="20.25" hidden="1" thickBot="1" x14ac:dyDescent="0.4">
      <c r="A4" s="111" t="s">
        <v>15</v>
      </c>
      <c r="B4" s="22" t="s">
        <v>21</v>
      </c>
      <c r="C4" s="23" t="s">
        <v>83</v>
      </c>
      <c r="D4" s="20">
        <v>23310</v>
      </c>
      <c r="E4" s="19">
        <v>30810</v>
      </c>
      <c r="F4" s="12">
        <v>49240</v>
      </c>
      <c r="G4" s="19">
        <v>30810</v>
      </c>
      <c r="H4" s="20">
        <v>77040</v>
      </c>
      <c r="I4" s="19">
        <v>122000</v>
      </c>
      <c r="J4" s="20">
        <v>77040</v>
      </c>
      <c r="K4" s="115"/>
    </row>
    <row r="5" spans="1:11" ht="20.25" hidden="1" thickBot="1" x14ac:dyDescent="0.4">
      <c r="A5" s="112"/>
      <c r="B5" s="22" t="s">
        <v>22</v>
      </c>
      <c r="C5" s="23" t="s">
        <v>84</v>
      </c>
      <c r="D5" s="20">
        <v>28900</v>
      </c>
      <c r="E5" s="19">
        <v>44780</v>
      </c>
      <c r="F5" s="12">
        <v>66760</v>
      </c>
      <c r="G5" s="19">
        <v>44780</v>
      </c>
      <c r="H5" s="20">
        <v>99740</v>
      </c>
      <c r="I5" s="19">
        <v>154720</v>
      </c>
      <c r="J5" s="20">
        <v>99740</v>
      </c>
      <c r="K5" s="115"/>
    </row>
    <row r="6" spans="1:11" ht="20.25" hidden="1" thickBot="1" x14ac:dyDescent="0.4">
      <c r="A6" s="113" t="s">
        <v>20</v>
      </c>
      <c r="B6" s="5" t="s">
        <v>21</v>
      </c>
      <c r="C6" s="14" t="s">
        <v>96</v>
      </c>
      <c r="D6" s="3">
        <v>22740</v>
      </c>
      <c r="E6" s="4">
        <v>30060</v>
      </c>
      <c r="F6" s="12">
        <v>48030</v>
      </c>
      <c r="G6" s="4">
        <v>30060</v>
      </c>
      <c r="H6" s="3">
        <v>75160</v>
      </c>
      <c r="I6" s="4">
        <v>119000</v>
      </c>
      <c r="J6" s="3">
        <v>75160</v>
      </c>
      <c r="K6" s="115"/>
    </row>
    <row r="7" spans="1:11" ht="20.25" hidden="1" thickBot="1" x14ac:dyDescent="0.4">
      <c r="A7" s="114"/>
      <c r="B7" s="6" t="s">
        <v>22</v>
      </c>
      <c r="C7" s="15" t="s">
        <v>97</v>
      </c>
      <c r="D7" s="7">
        <v>28210</v>
      </c>
      <c r="E7" s="8">
        <v>43680</v>
      </c>
      <c r="F7" s="12">
        <v>65130</v>
      </c>
      <c r="G7" s="8">
        <v>43680</v>
      </c>
      <c r="H7" s="7">
        <v>97300</v>
      </c>
      <c r="I7" s="8">
        <v>150930</v>
      </c>
      <c r="J7" s="7">
        <v>97300</v>
      </c>
      <c r="K7" s="115"/>
    </row>
    <row r="8" spans="1:11" ht="13.5" hidden="1" thickBot="1" x14ac:dyDescent="0.25"/>
    <row r="9" spans="1:11" ht="90.75" hidden="1" thickBot="1" x14ac:dyDescent="0.25">
      <c r="A9" s="70" t="s">
        <v>33</v>
      </c>
      <c r="B9" s="71"/>
      <c r="C9" s="16"/>
      <c r="D9" s="17" t="s">
        <v>41</v>
      </c>
      <c r="E9" s="18" t="s">
        <v>42</v>
      </c>
      <c r="F9" s="11" t="s">
        <v>43</v>
      </c>
      <c r="G9" s="18" t="s">
        <v>44</v>
      </c>
      <c r="H9" s="17" t="s">
        <v>45</v>
      </c>
      <c r="I9" s="18" t="s">
        <v>46</v>
      </c>
      <c r="J9" s="17" t="s">
        <v>47</v>
      </c>
      <c r="K9" s="102">
        <v>46082</v>
      </c>
    </row>
    <row r="10" spans="1:11" ht="20.25" hidden="1" thickBot="1" x14ac:dyDescent="0.4">
      <c r="A10" s="73" t="s">
        <v>8</v>
      </c>
      <c r="B10" s="5" t="s">
        <v>26</v>
      </c>
      <c r="C10" s="14" t="s">
        <v>69</v>
      </c>
      <c r="D10" s="3">
        <v>32780</v>
      </c>
      <c r="E10" s="4">
        <v>45910</v>
      </c>
      <c r="F10" s="12">
        <v>65540</v>
      </c>
      <c r="G10" s="4">
        <v>45910</v>
      </c>
      <c r="H10" s="3">
        <v>84110</v>
      </c>
      <c r="I10" s="4">
        <v>129420</v>
      </c>
      <c r="J10" s="3">
        <v>84110</v>
      </c>
      <c r="K10" s="103"/>
    </row>
    <row r="11" spans="1:11" ht="20.25" hidden="1" thickBot="1" x14ac:dyDescent="0.4">
      <c r="A11" s="73"/>
      <c r="B11" s="5" t="s">
        <v>22</v>
      </c>
      <c r="C11" s="14" t="s">
        <v>70</v>
      </c>
      <c r="D11" s="3">
        <v>42860</v>
      </c>
      <c r="E11" s="4">
        <v>68570</v>
      </c>
      <c r="F11" s="12">
        <v>85710</v>
      </c>
      <c r="G11" s="4">
        <v>68570</v>
      </c>
      <c r="H11" s="3">
        <v>118750</v>
      </c>
      <c r="I11" s="4">
        <v>177420</v>
      </c>
      <c r="J11" s="3">
        <v>118750</v>
      </c>
      <c r="K11" s="103"/>
    </row>
    <row r="12" spans="1:11" ht="20.25" hidden="1" thickBot="1" x14ac:dyDescent="0.4">
      <c r="A12" s="72" t="s">
        <v>15</v>
      </c>
      <c r="B12" s="22" t="s">
        <v>21</v>
      </c>
      <c r="C12" s="23" t="s">
        <v>83</v>
      </c>
      <c r="D12" s="20">
        <v>23980</v>
      </c>
      <c r="E12" s="19">
        <v>31700</v>
      </c>
      <c r="F12" s="12">
        <v>50660</v>
      </c>
      <c r="G12" s="19">
        <v>31700</v>
      </c>
      <c r="H12" s="20">
        <v>79260</v>
      </c>
      <c r="I12" s="19">
        <v>125510</v>
      </c>
      <c r="J12" s="20">
        <v>79260</v>
      </c>
      <c r="K12" s="103"/>
    </row>
    <row r="13" spans="1:11" ht="20.25" hidden="1" thickBot="1" x14ac:dyDescent="0.4">
      <c r="A13" s="72"/>
      <c r="B13" s="22" t="s">
        <v>22</v>
      </c>
      <c r="C13" s="23" t="s">
        <v>84</v>
      </c>
      <c r="D13" s="20">
        <v>29730</v>
      </c>
      <c r="E13" s="19">
        <v>46070</v>
      </c>
      <c r="F13" s="12">
        <v>68690</v>
      </c>
      <c r="G13" s="19">
        <v>46070</v>
      </c>
      <c r="H13" s="20">
        <v>102610</v>
      </c>
      <c r="I13" s="19">
        <v>159170</v>
      </c>
      <c r="J13" s="20">
        <v>102610</v>
      </c>
      <c r="K13" s="103"/>
    </row>
    <row r="14" spans="1:11" ht="20.25" hidden="1" thickBot="1" x14ac:dyDescent="0.4">
      <c r="A14" s="73" t="s">
        <v>20</v>
      </c>
      <c r="B14" s="5" t="s">
        <v>21</v>
      </c>
      <c r="C14" s="14" t="s">
        <v>96</v>
      </c>
      <c r="D14" s="3">
        <v>23400</v>
      </c>
      <c r="E14" s="4">
        <v>30930</v>
      </c>
      <c r="F14" s="12">
        <v>49410</v>
      </c>
      <c r="G14" s="4">
        <v>30930</v>
      </c>
      <c r="H14" s="3">
        <v>77320</v>
      </c>
      <c r="I14" s="4">
        <v>122420</v>
      </c>
      <c r="J14" s="3">
        <v>77320</v>
      </c>
      <c r="K14" s="103"/>
    </row>
    <row r="15" spans="1:11" ht="20.25" hidden="1" thickBot="1" x14ac:dyDescent="0.4">
      <c r="A15" s="76"/>
      <c r="B15" s="6" t="s">
        <v>22</v>
      </c>
      <c r="C15" s="15" t="s">
        <v>97</v>
      </c>
      <c r="D15" s="7">
        <v>29020</v>
      </c>
      <c r="E15" s="8">
        <v>44940</v>
      </c>
      <c r="F15" s="12">
        <v>67000</v>
      </c>
      <c r="G15" s="8">
        <v>44940</v>
      </c>
      <c r="H15" s="7">
        <v>110000</v>
      </c>
      <c r="I15" s="8">
        <v>155280</v>
      </c>
      <c r="J15" s="7">
        <v>110000</v>
      </c>
      <c r="K15" s="103"/>
    </row>
    <row r="16" spans="1:11" ht="13.5" thickBot="1" x14ac:dyDescent="0.25"/>
    <row r="17" spans="1:11" ht="90.75" thickBot="1" x14ac:dyDescent="0.25">
      <c r="A17" s="104" t="s">
        <v>204</v>
      </c>
      <c r="B17" s="105"/>
      <c r="C17" s="106"/>
      <c r="D17" s="17" t="s">
        <v>41</v>
      </c>
      <c r="E17" s="18" t="s">
        <v>42</v>
      </c>
      <c r="F17" s="11" t="s">
        <v>43</v>
      </c>
      <c r="G17" s="18" t="s">
        <v>44</v>
      </c>
      <c r="H17" s="17" t="s">
        <v>45</v>
      </c>
      <c r="I17" s="18" t="s">
        <v>46</v>
      </c>
      <c r="J17" s="17" t="s">
        <v>47</v>
      </c>
      <c r="K17" s="102">
        <v>46113</v>
      </c>
    </row>
    <row r="18" spans="1:11" ht="20.25" thickBot="1" x14ac:dyDescent="0.4">
      <c r="A18" s="73" t="s">
        <v>8</v>
      </c>
      <c r="B18" s="5" t="s">
        <v>26</v>
      </c>
      <c r="C18" s="14" t="s">
        <v>69</v>
      </c>
      <c r="D18" s="3">
        <v>33600</v>
      </c>
      <c r="E18" s="4">
        <v>47060</v>
      </c>
      <c r="F18" s="12">
        <v>67180</v>
      </c>
      <c r="G18" s="4">
        <v>47060</v>
      </c>
      <c r="H18" s="3">
        <v>86220</v>
      </c>
      <c r="I18" s="4">
        <v>132660</v>
      </c>
      <c r="J18" s="3">
        <v>86220</v>
      </c>
      <c r="K18" s="103"/>
    </row>
    <row r="19" spans="1:11" ht="20.25" thickBot="1" x14ac:dyDescent="0.4">
      <c r="A19" s="73"/>
      <c r="B19" s="5" t="s">
        <v>22</v>
      </c>
      <c r="C19" s="14" t="s">
        <v>70</v>
      </c>
      <c r="D19" s="3">
        <v>43940</v>
      </c>
      <c r="E19" s="4">
        <v>70290</v>
      </c>
      <c r="F19" s="12">
        <v>87890</v>
      </c>
      <c r="G19" s="4">
        <v>70290</v>
      </c>
      <c r="H19" s="3">
        <v>121720</v>
      </c>
      <c r="I19" s="4">
        <v>181850</v>
      </c>
      <c r="J19" s="3">
        <v>121720</v>
      </c>
      <c r="K19" s="103"/>
    </row>
    <row r="20" spans="1:11" ht="20.25" thickBot="1" x14ac:dyDescent="0.4">
      <c r="A20" s="72" t="s">
        <v>15</v>
      </c>
      <c r="B20" s="22" t="s">
        <v>21</v>
      </c>
      <c r="C20" s="23" t="s">
        <v>83</v>
      </c>
      <c r="D20" s="20">
        <v>24580</v>
      </c>
      <c r="E20" s="19">
        <v>32500</v>
      </c>
      <c r="F20" s="12">
        <v>51930</v>
      </c>
      <c r="G20" s="19">
        <v>32500</v>
      </c>
      <c r="H20" s="20">
        <v>81240</v>
      </c>
      <c r="I20" s="19">
        <v>128650</v>
      </c>
      <c r="J20" s="20">
        <v>81240</v>
      </c>
      <c r="K20" s="103"/>
    </row>
    <row r="21" spans="1:11" ht="20.25" thickBot="1" x14ac:dyDescent="0.4">
      <c r="A21" s="72"/>
      <c r="B21" s="22" t="s">
        <v>22</v>
      </c>
      <c r="C21" s="23" t="s">
        <v>84</v>
      </c>
      <c r="D21" s="20">
        <v>30480</v>
      </c>
      <c r="E21" s="19">
        <v>47220</v>
      </c>
      <c r="F21" s="12">
        <v>70410</v>
      </c>
      <c r="G21" s="19">
        <v>47220</v>
      </c>
      <c r="H21" s="20">
        <v>105180</v>
      </c>
      <c r="I21" s="19">
        <v>163150</v>
      </c>
      <c r="J21" s="20">
        <v>105180</v>
      </c>
      <c r="K21" s="103"/>
    </row>
    <row r="22" spans="1:11" ht="20.25" thickBot="1" x14ac:dyDescent="0.4">
      <c r="A22" s="73" t="s">
        <v>20</v>
      </c>
      <c r="B22" s="5" t="s">
        <v>21</v>
      </c>
      <c r="C22" s="14" t="s">
        <v>96</v>
      </c>
      <c r="D22" s="3">
        <v>24000</v>
      </c>
      <c r="E22" s="4">
        <v>31700</v>
      </c>
      <c r="F22" s="12">
        <v>50650</v>
      </c>
      <c r="G22" s="4">
        <v>31700</v>
      </c>
      <c r="H22" s="3">
        <v>79260</v>
      </c>
      <c r="I22" s="4">
        <v>125480</v>
      </c>
      <c r="J22" s="3">
        <v>79260</v>
      </c>
      <c r="K22" s="103"/>
    </row>
    <row r="23" spans="1:11" ht="20.25" thickBot="1" x14ac:dyDescent="0.4">
      <c r="A23" s="76"/>
      <c r="B23" s="6" t="s">
        <v>22</v>
      </c>
      <c r="C23" s="15" t="s">
        <v>97</v>
      </c>
      <c r="D23" s="7">
        <v>29750</v>
      </c>
      <c r="E23" s="8">
        <v>46070</v>
      </c>
      <c r="F23" s="12">
        <v>68680</v>
      </c>
      <c r="G23" s="8">
        <v>46070</v>
      </c>
      <c r="H23" s="7">
        <v>112750</v>
      </c>
      <c r="I23" s="8">
        <v>159160</v>
      </c>
      <c r="J23" s="7">
        <v>112750</v>
      </c>
      <c r="K23" s="103"/>
    </row>
    <row r="24" spans="1:11" ht="15" x14ac:dyDescent="0.3">
      <c r="J24" s="66">
        <v>46113</v>
      </c>
    </row>
  </sheetData>
  <mergeCells count="15">
    <mergeCell ref="A2:A3"/>
    <mergeCell ref="A1:B1"/>
    <mergeCell ref="A4:A5"/>
    <mergeCell ref="A6:A7"/>
    <mergeCell ref="K1:K7"/>
    <mergeCell ref="A9:B9"/>
    <mergeCell ref="K9:K15"/>
    <mergeCell ref="A10:A11"/>
    <mergeCell ref="A12:A13"/>
    <mergeCell ref="A14:A15"/>
    <mergeCell ref="A18:A19"/>
    <mergeCell ref="A20:A21"/>
    <mergeCell ref="A22:A23"/>
    <mergeCell ref="K17:K23"/>
    <mergeCell ref="A17:C17"/>
  </mergeCells>
  <pageMargins left="0.39370078740157483" right="0.39370078740157483" top="0.74803149606299213" bottom="0.74803149606299213" header="0.31496062992125984" footer="0.31496062992125984"/>
  <pageSetup scale="78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FBCE-87C2-4E0B-AC2F-1AEA859FAC49}">
  <dimension ref="A1:C20"/>
  <sheetViews>
    <sheetView workbookViewId="0">
      <selection activeCell="D6" sqref="D6"/>
    </sheetView>
  </sheetViews>
  <sheetFormatPr baseColWidth="10" defaultRowHeight="15" x14ac:dyDescent="0.3"/>
  <cols>
    <col min="1" max="1" width="42.42578125" style="46" bestFit="1" customWidth="1"/>
    <col min="2" max="2" width="19.7109375" style="46" bestFit="1" customWidth="1"/>
    <col min="3" max="3" width="31.28515625" style="46" customWidth="1"/>
    <col min="4" max="16384" width="11.42578125" style="46"/>
  </cols>
  <sheetData>
    <row r="1" spans="1:3" ht="15.75" thickBot="1" x14ac:dyDescent="0.35">
      <c r="A1" s="133">
        <v>46054</v>
      </c>
    </row>
    <row r="2" spans="1:3" ht="18.75" thickBot="1" x14ac:dyDescent="0.35">
      <c r="A2" s="48" t="s">
        <v>175</v>
      </c>
      <c r="B2" s="49" t="s">
        <v>176</v>
      </c>
      <c r="C2" s="50" t="s">
        <v>195</v>
      </c>
    </row>
    <row r="3" spans="1:3" ht="18.75" thickBot="1" x14ac:dyDescent="0.4">
      <c r="A3" s="47"/>
      <c r="B3" s="47"/>
      <c r="C3" s="47"/>
    </row>
    <row r="4" spans="1:3" ht="18" x14ac:dyDescent="0.3">
      <c r="A4" s="51" t="s">
        <v>177</v>
      </c>
      <c r="B4" s="52" t="s">
        <v>196</v>
      </c>
      <c r="C4" s="53" t="s">
        <v>179</v>
      </c>
    </row>
    <row r="5" spans="1:3" ht="18" x14ac:dyDescent="0.3">
      <c r="A5" s="54" t="s">
        <v>180</v>
      </c>
      <c r="B5" s="55" t="s">
        <v>197</v>
      </c>
      <c r="C5" s="56" t="s">
        <v>179</v>
      </c>
    </row>
    <row r="6" spans="1:3" ht="18" x14ac:dyDescent="0.3">
      <c r="A6" s="54" t="s">
        <v>182</v>
      </c>
      <c r="B6" s="55" t="s">
        <v>198</v>
      </c>
      <c r="C6" s="56" t="s">
        <v>179</v>
      </c>
    </row>
    <row r="7" spans="1:3" ht="18" x14ac:dyDescent="0.3">
      <c r="A7" s="54" t="s">
        <v>184</v>
      </c>
      <c r="B7" s="55" t="s">
        <v>199</v>
      </c>
      <c r="C7" s="56" t="s">
        <v>179</v>
      </c>
    </row>
    <row r="8" spans="1:3" ht="18" x14ac:dyDescent="0.3">
      <c r="A8" s="57" t="s">
        <v>186</v>
      </c>
      <c r="B8" s="55" t="s">
        <v>200</v>
      </c>
      <c r="C8" s="56" t="s">
        <v>193</v>
      </c>
    </row>
    <row r="9" spans="1:3" ht="18" x14ac:dyDescent="0.3">
      <c r="A9" s="57" t="s">
        <v>189</v>
      </c>
      <c r="B9" s="55" t="s">
        <v>201</v>
      </c>
      <c r="C9" s="56" t="s">
        <v>193</v>
      </c>
    </row>
    <row r="10" spans="1:3" ht="18.75" thickBot="1" x14ac:dyDescent="0.35">
      <c r="A10" s="58" t="s">
        <v>191</v>
      </c>
      <c r="B10" s="59" t="s">
        <v>202</v>
      </c>
      <c r="C10" s="60" t="s">
        <v>193</v>
      </c>
    </row>
    <row r="12" spans="1:3" ht="18.75" hidden="1" thickBot="1" x14ac:dyDescent="0.35">
      <c r="A12" s="61" t="s">
        <v>194</v>
      </c>
    </row>
    <row r="13" spans="1:3" ht="18.75" hidden="1" thickBot="1" x14ac:dyDescent="0.35">
      <c r="A13" s="62" t="s">
        <v>175</v>
      </c>
      <c r="B13" s="50" t="s">
        <v>176</v>
      </c>
      <c r="C13" s="50" t="s">
        <v>203</v>
      </c>
    </row>
    <row r="14" spans="1:3" ht="18.75" hidden="1" thickBot="1" x14ac:dyDescent="0.35">
      <c r="A14" s="63" t="s">
        <v>177</v>
      </c>
      <c r="B14" s="60" t="s">
        <v>178</v>
      </c>
      <c r="C14" s="60" t="s">
        <v>179</v>
      </c>
    </row>
    <row r="15" spans="1:3" ht="18.75" hidden="1" thickBot="1" x14ac:dyDescent="0.35">
      <c r="A15" s="63" t="s">
        <v>180</v>
      </c>
      <c r="B15" s="60" t="s">
        <v>181</v>
      </c>
      <c r="C15" s="60" t="s">
        <v>179</v>
      </c>
    </row>
    <row r="16" spans="1:3" ht="18.75" hidden="1" thickBot="1" x14ac:dyDescent="0.35">
      <c r="A16" s="63" t="s">
        <v>182</v>
      </c>
      <c r="B16" s="60" t="s">
        <v>183</v>
      </c>
      <c r="C16" s="64" t="s">
        <v>179</v>
      </c>
    </row>
    <row r="17" spans="1:3" ht="18.75" hidden="1" thickBot="1" x14ac:dyDescent="0.35">
      <c r="A17" s="63" t="s">
        <v>184</v>
      </c>
      <c r="B17" s="60" t="s">
        <v>185</v>
      </c>
      <c r="C17" s="60" t="s">
        <v>179</v>
      </c>
    </row>
    <row r="18" spans="1:3" ht="18.75" hidden="1" thickBot="1" x14ac:dyDescent="0.35">
      <c r="A18" s="65" t="s">
        <v>186</v>
      </c>
      <c r="B18" s="60" t="s">
        <v>187</v>
      </c>
      <c r="C18" s="60" t="s">
        <v>188</v>
      </c>
    </row>
    <row r="19" spans="1:3" ht="18.75" hidden="1" thickBot="1" x14ac:dyDescent="0.35">
      <c r="A19" s="65" t="s">
        <v>189</v>
      </c>
      <c r="B19" s="60" t="s">
        <v>190</v>
      </c>
      <c r="C19" s="60" t="s">
        <v>188</v>
      </c>
    </row>
    <row r="20" spans="1:3" ht="18.75" hidden="1" thickBot="1" x14ac:dyDescent="0.35">
      <c r="A20" s="65" t="s">
        <v>191</v>
      </c>
      <c r="B20" s="60" t="s">
        <v>192</v>
      </c>
      <c r="C20" s="60" t="s">
        <v>188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EE28-F01C-471B-B7EF-5081DD407C9E}">
  <dimension ref="A1:K18"/>
  <sheetViews>
    <sheetView workbookViewId="0">
      <selection activeCell="G17" sqref="G17:H18"/>
    </sheetView>
  </sheetViews>
  <sheetFormatPr baseColWidth="10" defaultRowHeight="12.75" x14ac:dyDescent="0.2"/>
  <cols>
    <col min="1" max="1" width="38.7109375" customWidth="1"/>
    <col min="2" max="3" width="12.7109375" hidden="1" customWidth="1"/>
    <col min="4" max="11" width="16.7109375" customWidth="1"/>
  </cols>
  <sheetData>
    <row r="1" spans="1:11" ht="39.950000000000003" customHeight="1" x14ac:dyDescent="0.2">
      <c r="A1" s="134" t="s">
        <v>206</v>
      </c>
      <c r="B1" s="134"/>
    </row>
    <row r="2" spans="1:11" ht="39.950000000000003" customHeight="1" x14ac:dyDescent="0.2">
      <c r="A2" s="135" t="s">
        <v>207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</row>
    <row r="3" spans="1:11" ht="35.1" customHeight="1" x14ac:dyDescent="0.2">
      <c r="A3" s="137" t="s">
        <v>208</v>
      </c>
      <c r="B3" s="138" t="s">
        <v>209</v>
      </c>
      <c r="C3" s="139"/>
      <c r="D3" s="140" t="s">
        <v>209</v>
      </c>
      <c r="E3" s="141"/>
      <c r="F3" s="140" t="s">
        <v>210</v>
      </c>
      <c r="G3" s="141"/>
      <c r="H3" s="141" t="s">
        <v>211</v>
      </c>
      <c r="I3" s="141"/>
      <c r="J3" s="141" t="s">
        <v>212</v>
      </c>
      <c r="K3" s="141"/>
    </row>
    <row r="4" spans="1:11" ht="35.1" customHeight="1" x14ac:dyDescent="0.2">
      <c r="A4" s="142" t="s">
        <v>213</v>
      </c>
      <c r="B4" s="143" t="s">
        <v>214</v>
      </c>
      <c r="C4" s="143"/>
      <c r="D4" s="140" t="s">
        <v>215</v>
      </c>
      <c r="E4" s="140"/>
      <c r="F4" s="140" t="s">
        <v>216</v>
      </c>
      <c r="G4" s="140"/>
      <c r="H4" s="140" t="s">
        <v>217</v>
      </c>
      <c r="I4" s="140"/>
      <c r="J4" s="140" t="s">
        <v>218</v>
      </c>
      <c r="K4" s="140"/>
    </row>
    <row r="5" spans="1:11" ht="35.1" customHeight="1" x14ac:dyDescent="0.2">
      <c r="A5" s="144"/>
      <c r="B5" s="145"/>
      <c r="C5" s="145"/>
      <c r="D5" s="146" t="s">
        <v>219</v>
      </c>
      <c r="E5" s="147" t="s">
        <v>220</v>
      </c>
      <c r="F5" s="146" t="s">
        <v>219</v>
      </c>
      <c r="G5" s="147" t="s">
        <v>220</v>
      </c>
      <c r="H5" s="146" t="s">
        <v>219</v>
      </c>
      <c r="I5" s="147" t="s">
        <v>220</v>
      </c>
      <c r="J5" s="146" t="s">
        <v>219</v>
      </c>
      <c r="K5" s="147" t="s">
        <v>220</v>
      </c>
    </row>
    <row r="6" spans="1:11" ht="30" hidden="1" customHeight="1" x14ac:dyDescent="0.2">
      <c r="A6" s="148" t="s">
        <v>221</v>
      </c>
      <c r="B6" s="149"/>
      <c r="C6" s="149"/>
      <c r="D6" s="150">
        <v>2570</v>
      </c>
      <c r="E6" s="151"/>
      <c r="F6" s="150">
        <v>3060</v>
      </c>
      <c r="G6" s="151"/>
      <c r="H6" s="150">
        <v>3620</v>
      </c>
      <c r="I6" s="151"/>
      <c r="J6" s="150">
        <v>3620</v>
      </c>
      <c r="K6" s="151"/>
    </row>
    <row r="7" spans="1:11" s="158" customFormat="1" ht="35.25" x14ac:dyDescent="0.2">
      <c r="A7" s="152" t="s">
        <v>222</v>
      </c>
      <c r="B7" s="153" t="e">
        <f>#REF!*0.5</f>
        <v>#REF!</v>
      </c>
      <c r="C7" s="153"/>
      <c r="D7" s="154" t="s">
        <v>223</v>
      </c>
      <c r="E7" s="155">
        <v>30000</v>
      </c>
      <c r="F7" s="156" t="s">
        <v>223</v>
      </c>
      <c r="G7" s="157">
        <v>37500</v>
      </c>
      <c r="H7" s="156" t="s">
        <v>223</v>
      </c>
      <c r="I7" s="157">
        <v>45000</v>
      </c>
      <c r="J7" s="156" t="s">
        <v>223</v>
      </c>
      <c r="K7" s="157">
        <v>60000</v>
      </c>
    </row>
    <row r="8" spans="1:11" s="158" customFormat="1" ht="35.25" x14ac:dyDescent="0.2">
      <c r="A8" s="152" t="s">
        <v>224</v>
      </c>
      <c r="B8" s="153" t="e">
        <f>#REF!*0.8</f>
        <v>#REF!</v>
      </c>
      <c r="C8" s="153"/>
      <c r="D8" s="159"/>
      <c r="E8" s="155">
        <v>30000</v>
      </c>
      <c r="F8" s="160"/>
      <c r="G8" s="157">
        <v>37500</v>
      </c>
      <c r="H8" s="160"/>
      <c r="I8" s="157">
        <v>45000</v>
      </c>
      <c r="J8" s="160"/>
      <c r="K8" s="157">
        <v>60000</v>
      </c>
    </row>
    <row r="9" spans="1:11" s="158" customFormat="1" ht="35.25" x14ac:dyDescent="0.2">
      <c r="A9" s="152" t="s">
        <v>225</v>
      </c>
      <c r="B9" s="153" t="e">
        <f>#REF!</f>
        <v>#REF!</v>
      </c>
      <c r="C9" s="153"/>
      <c r="D9" s="159"/>
      <c r="E9" s="155">
        <v>37500</v>
      </c>
      <c r="F9" s="160"/>
      <c r="G9" s="157">
        <v>45000</v>
      </c>
      <c r="H9" s="160"/>
      <c r="I9" s="157">
        <v>52500</v>
      </c>
      <c r="J9" s="160"/>
      <c r="K9" s="157">
        <v>67500</v>
      </c>
    </row>
    <row r="10" spans="1:11" s="158" customFormat="1" ht="35.25" x14ac:dyDescent="0.2">
      <c r="A10" s="152" t="s">
        <v>226</v>
      </c>
      <c r="B10" s="153" t="e">
        <f>#REF!*0.8</f>
        <v>#REF!</v>
      </c>
      <c r="C10" s="153"/>
      <c r="D10" s="159"/>
      <c r="E10" s="155">
        <v>30000</v>
      </c>
      <c r="F10" s="160"/>
      <c r="G10" s="157">
        <v>37500</v>
      </c>
      <c r="H10" s="160"/>
      <c r="I10" s="157">
        <v>45000</v>
      </c>
      <c r="J10" s="160"/>
      <c r="K10" s="157">
        <v>60000</v>
      </c>
    </row>
    <row r="11" spans="1:11" s="158" customFormat="1" ht="35.25" x14ac:dyDescent="0.2">
      <c r="A11" s="152" t="s">
        <v>227</v>
      </c>
      <c r="B11" s="153" t="e">
        <f>#REF!*1.3</f>
        <v>#REF!</v>
      </c>
      <c r="C11" s="153"/>
      <c r="D11" s="159"/>
      <c r="E11" s="155">
        <v>45000</v>
      </c>
      <c r="F11" s="160"/>
      <c r="G11" s="157">
        <v>60000</v>
      </c>
      <c r="H11" s="160"/>
      <c r="I11" s="157">
        <v>67500</v>
      </c>
      <c r="J11" s="160"/>
      <c r="K11" s="157">
        <v>82500</v>
      </c>
    </row>
    <row r="12" spans="1:11" s="158" customFormat="1" ht="35.25" x14ac:dyDescent="0.2">
      <c r="A12" s="152" t="s">
        <v>228</v>
      </c>
      <c r="B12" s="153" t="e">
        <f>#REF!*1.8</f>
        <v>#REF!</v>
      </c>
      <c r="C12" s="153"/>
      <c r="D12" s="159"/>
      <c r="E12" s="155">
        <v>60000</v>
      </c>
      <c r="F12" s="160"/>
      <c r="G12" s="157">
        <v>75000</v>
      </c>
      <c r="H12" s="160"/>
      <c r="I12" s="157">
        <v>82500</v>
      </c>
      <c r="J12" s="160"/>
      <c r="K12" s="157">
        <v>112500</v>
      </c>
    </row>
    <row r="13" spans="1:11" s="158" customFormat="1" ht="40.5" x14ac:dyDescent="0.2">
      <c r="A13" s="152" t="s">
        <v>229</v>
      </c>
      <c r="B13" s="153" t="e">
        <f>#REF!*1.3</f>
        <v>#REF!</v>
      </c>
      <c r="C13" s="153"/>
      <c r="D13" s="161"/>
      <c r="E13" s="155">
        <v>45000</v>
      </c>
      <c r="F13" s="162"/>
      <c r="G13" s="157">
        <v>60000</v>
      </c>
      <c r="H13" s="162"/>
      <c r="I13" s="157">
        <v>67500</v>
      </c>
      <c r="J13" s="162"/>
      <c r="K13" s="157">
        <v>82500</v>
      </c>
    </row>
    <row r="14" spans="1:11" ht="6.75" customHeight="1" x14ac:dyDescent="0.2">
      <c r="A14" s="158"/>
      <c r="B14" s="158"/>
      <c r="C14" s="158"/>
      <c r="D14" s="158"/>
      <c r="E14" s="158"/>
      <c r="F14" s="158"/>
      <c r="G14" s="158"/>
      <c r="H14" s="158"/>
      <c r="I14" s="158"/>
    </row>
    <row r="15" spans="1:11" ht="35.1" customHeight="1" x14ac:dyDescent="0.2">
      <c r="A15" s="163" t="s">
        <v>230</v>
      </c>
      <c r="B15" s="164"/>
      <c r="C15" s="164"/>
      <c r="D15" s="164"/>
      <c r="E15" s="164"/>
      <c r="F15" s="164"/>
      <c r="G15" s="164"/>
      <c r="H15" s="164"/>
      <c r="I15" s="164"/>
      <c r="J15" s="164"/>
      <c r="K15" s="164"/>
    </row>
    <row r="16" spans="1:11" ht="6.75" customHeight="1" x14ac:dyDescent="0.2">
      <c r="A16" s="165"/>
      <c r="B16" s="166"/>
      <c r="C16" s="166"/>
      <c r="D16" s="166"/>
      <c r="E16" s="166"/>
      <c r="F16" s="166"/>
      <c r="G16" s="166"/>
      <c r="H16" s="166"/>
      <c r="I16" s="166"/>
    </row>
    <row r="17" spans="1:11" s="175" customFormat="1" ht="60.75" customHeight="1" x14ac:dyDescent="0.2">
      <c r="A17" s="167" t="s">
        <v>231</v>
      </c>
      <c r="B17" s="168"/>
      <c r="C17" s="168"/>
      <c r="D17" s="169"/>
      <c r="E17" s="170" t="s">
        <v>232</v>
      </c>
      <c r="F17" s="171"/>
      <c r="G17" s="172" t="s">
        <v>233</v>
      </c>
      <c r="H17" s="173"/>
      <c r="I17" s="174" t="s">
        <v>234</v>
      </c>
      <c r="J17" s="174"/>
      <c r="K17" s="174"/>
    </row>
    <row r="18" spans="1:11" s="175" customFormat="1" ht="60.75" customHeight="1" x14ac:dyDescent="0.2">
      <c r="A18" s="176" t="s">
        <v>235</v>
      </c>
      <c r="B18" s="177"/>
      <c r="C18" s="177"/>
      <c r="D18" s="178"/>
      <c r="E18" s="170"/>
      <c r="F18" s="171"/>
      <c r="G18" s="179"/>
      <c r="H18" s="180"/>
      <c r="I18" s="174"/>
      <c r="J18" s="174"/>
      <c r="K18" s="174"/>
    </row>
  </sheetData>
  <mergeCells count="34">
    <mergeCell ref="A17:D17"/>
    <mergeCell ref="E17:F18"/>
    <mergeCell ref="G17:H18"/>
    <mergeCell ref="I17:K18"/>
    <mergeCell ref="A18:D18"/>
    <mergeCell ref="B9:C9"/>
    <mergeCell ref="B10:C10"/>
    <mergeCell ref="B11:C11"/>
    <mergeCell ref="B12:C12"/>
    <mergeCell ref="B13:C13"/>
    <mergeCell ref="A15:K15"/>
    <mergeCell ref="D6:E6"/>
    <mergeCell ref="F6:G6"/>
    <mergeCell ref="H6:I6"/>
    <mergeCell ref="J6:K6"/>
    <mergeCell ref="B7:C7"/>
    <mergeCell ref="D7:D13"/>
    <mergeCell ref="F7:F13"/>
    <mergeCell ref="H7:H13"/>
    <mergeCell ref="J7:J13"/>
    <mergeCell ref="B8:C8"/>
    <mergeCell ref="A4:A5"/>
    <mergeCell ref="B4:C4"/>
    <mergeCell ref="D4:E4"/>
    <mergeCell ref="F4:G4"/>
    <mergeCell ref="H4:I4"/>
    <mergeCell ref="J4:K4"/>
    <mergeCell ref="A1:B1"/>
    <mergeCell ref="A2:K2"/>
    <mergeCell ref="B3:C3"/>
    <mergeCell ref="D3:E3"/>
    <mergeCell ref="F3:G3"/>
    <mergeCell ref="H3:I3"/>
    <mergeCell ref="J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clicpaq</vt:lpstr>
      <vt:lpstr>fransof</vt:lpstr>
      <vt:lpstr>alfaro</vt:lpstr>
      <vt:lpstr>LBO CP</vt:lpstr>
      <vt:lpstr>fletes sucursales</vt:lpstr>
      <vt:lpstr>clicpaq!Área_de_impresión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 Mantello</cp:lastModifiedBy>
  <cp:lastPrinted>2026-04-21T13:44:19Z</cp:lastPrinted>
  <dcterms:created xsi:type="dcterms:W3CDTF">2012-11-13T20:15:07Z</dcterms:created>
  <dcterms:modified xsi:type="dcterms:W3CDTF">2026-04-30T12:28:42Z</dcterms:modified>
</cp:coreProperties>
</file>